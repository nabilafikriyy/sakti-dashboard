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Kuliah\Sem 6\Pemograman Web 6A\Sakti Revisi\data\"/>
    </mc:Choice>
  </mc:AlternateContent>
  <xr:revisionPtr revIDLastSave="0" documentId="13_ncr:1_{65446DB0-30B5-4AFB-B05E-372BDF3F3F59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Rekapitulasi" sheetId="1" r:id="rId1"/>
    <sheet name="2023" sheetId="2" r:id="rId2"/>
    <sheet name="2024" sheetId="3" r:id="rId3"/>
    <sheet name="2025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4" l="1"/>
  <c r="P32" i="4" s="1"/>
  <c r="T32" i="1" s="1"/>
  <c r="M32" i="4"/>
  <c r="N32" i="4" s="1"/>
  <c r="R32" i="1" s="1"/>
  <c r="K32" i="4"/>
  <c r="L32" i="4" s="1"/>
  <c r="I32" i="4"/>
  <c r="J32" i="4" s="1"/>
  <c r="G32" i="4"/>
  <c r="H32" i="4" s="1"/>
  <c r="E32" i="4"/>
  <c r="F32" i="4" s="1"/>
  <c r="D32" i="4"/>
  <c r="Q32" i="4" s="1"/>
  <c r="C32" i="4"/>
  <c r="O32" i="1" s="1"/>
  <c r="Q31" i="4"/>
  <c r="Q30" i="4"/>
  <c r="Q29" i="4"/>
  <c r="Q27" i="4"/>
  <c r="Q26" i="4"/>
  <c r="Q24" i="4"/>
  <c r="Q22" i="4"/>
  <c r="Q21" i="4"/>
  <c r="Q20" i="4"/>
  <c r="Q19" i="4"/>
  <c r="Q16" i="4"/>
  <c r="Q14" i="4"/>
  <c r="Q12" i="4"/>
  <c r="Q10" i="4"/>
  <c r="Q9" i="4"/>
  <c r="Q8" i="4"/>
  <c r="Q7" i="4"/>
  <c r="O32" i="3"/>
  <c r="P32" i="3" s="1"/>
  <c r="N32" i="1" s="1"/>
  <c r="M32" i="3"/>
  <c r="N32" i="3" s="1"/>
  <c r="L32" i="1" s="1"/>
  <c r="K32" i="3"/>
  <c r="L32" i="3" s="1"/>
  <c r="I32" i="3"/>
  <c r="J32" i="3" s="1"/>
  <c r="G32" i="3"/>
  <c r="H32" i="3" s="1"/>
  <c r="E32" i="3"/>
  <c r="F32" i="3" s="1"/>
  <c r="D32" i="3"/>
  <c r="Q32" i="3" s="1"/>
  <c r="C32" i="3"/>
  <c r="Q31" i="3"/>
  <c r="Q30" i="3"/>
  <c r="Q29" i="3"/>
  <c r="Q27" i="3"/>
  <c r="Q26" i="3"/>
  <c r="Q24" i="3"/>
  <c r="Q22" i="3"/>
  <c r="Q21" i="3"/>
  <c r="Q20" i="3"/>
  <c r="Q19" i="3"/>
  <c r="Q16" i="3"/>
  <c r="Q14" i="3"/>
  <c r="Q12" i="3"/>
  <c r="Q10" i="3"/>
  <c r="Q9" i="3"/>
  <c r="Q8" i="3"/>
  <c r="Q7" i="3"/>
  <c r="O32" i="2"/>
  <c r="P32" i="2" s="1"/>
  <c r="H32" i="1" s="1"/>
  <c r="M32" i="2"/>
  <c r="N32" i="2" s="1"/>
  <c r="F32" i="1" s="1"/>
  <c r="K32" i="2"/>
  <c r="L32" i="2" s="1"/>
  <c r="I32" i="2"/>
  <c r="J32" i="2" s="1"/>
  <c r="G32" i="2"/>
  <c r="H32" i="2" s="1"/>
  <c r="E32" i="2"/>
  <c r="F32" i="2" s="1"/>
  <c r="D32" i="2"/>
  <c r="Q32" i="2" s="1"/>
  <c r="C32" i="2"/>
  <c r="Q31" i="2"/>
  <c r="Q30" i="2"/>
  <c r="Q29" i="2"/>
  <c r="Q27" i="2"/>
  <c r="Q26" i="2"/>
  <c r="Q24" i="2"/>
  <c r="Q22" i="2"/>
  <c r="Q21" i="2"/>
  <c r="Q20" i="2"/>
  <c r="Q19" i="2"/>
  <c r="Q16" i="2"/>
  <c r="Q14" i="2"/>
  <c r="Q12" i="2"/>
  <c r="Q10" i="2"/>
  <c r="Q9" i="2"/>
  <c r="Q8" i="2"/>
  <c r="Q7" i="2"/>
  <c r="S32" i="1"/>
  <c r="Q32" i="1"/>
  <c r="P32" i="1"/>
  <c r="M32" i="1"/>
  <c r="K32" i="1"/>
  <c r="J32" i="1"/>
  <c r="I32" i="1"/>
  <c r="G32" i="1"/>
  <c r="E32" i="1"/>
  <c r="D32" i="1"/>
  <c r="C32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<sst xmlns="http://schemas.openxmlformats.org/spreadsheetml/2006/main" count="244" uniqueCount="62">
  <si>
    <t>REKAPITULASI STATUS GIZI (PSG) BALITA
DINAS KESEHATAN KABUPATEN SLEMAN
TAHUN 2023 – 2025</t>
  </si>
  <si>
    <t>Sumber: Dinas Kesehatan Kabupaten Sleman</t>
  </si>
  <si>
    <t>NO</t>
  </si>
  <si>
    <t>PUSKESMAS</t>
  </si>
  <si>
    <t>TAHUN 2023</t>
  </si>
  <si>
    <t>TAHUN 2024</t>
  </si>
  <si>
    <t>TAHUN 2025</t>
  </si>
  <si>
    <t>Sasaran
Balita</t>
  </si>
  <si>
    <t>Balita
Dipantau</t>
  </si>
  <si>
    <t>Stunted
n</t>
  </si>
  <si>
    <t>Stunted
%</t>
  </si>
  <si>
    <t>Stunting
n</t>
  </si>
  <si>
    <t>Stunting
%</t>
  </si>
  <si>
    <t>n</t>
  </si>
  <si>
    <t>%</t>
  </si>
  <si>
    <t>MOYUDAN</t>
  </si>
  <si>
    <t>MINGGIR</t>
  </si>
  <si>
    <t>SEYEGAN</t>
  </si>
  <si>
    <t>GODEAN I</t>
  </si>
  <si>
    <t>GODEAN II</t>
  </si>
  <si>
    <t>GAMPING I</t>
  </si>
  <si>
    <t>GAMPING II</t>
  </si>
  <si>
    <t>MLATI I</t>
  </si>
  <si>
    <t>MLATI II</t>
  </si>
  <si>
    <t>DEPOK I</t>
  </si>
  <si>
    <t>DEPOK II</t>
  </si>
  <si>
    <t>DEPOK III</t>
  </si>
  <si>
    <t>BERBAH</t>
  </si>
  <si>
    <t>PRAMBANAN</t>
  </si>
  <si>
    <t>KALASAN</t>
  </si>
  <si>
    <t>NGEMPLAK I</t>
  </si>
  <si>
    <t>NGEMPLAK II</t>
  </si>
  <si>
    <t>NGAGLIK I</t>
  </si>
  <si>
    <t>NGAGLIK II</t>
  </si>
  <si>
    <t>SLEMAN</t>
  </si>
  <si>
    <t>TEMPEL I</t>
  </si>
  <si>
    <t>TEMPEL II</t>
  </si>
  <si>
    <t>TURI</t>
  </si>
  <si>
    <t>PAKEM</t>
  </si>
  <si>
    <t>CANGKRINGAN</t>
  </si>
  <si>
    <t>JUMLAH / KABUPATEN</t>
  </si>
  <si>
    <t>Keterangan:</t>
  </si>
  <si>
    <t>* Stunted = Sangat Pendek + Pendek (TB/U &lt; -2 SD)</t>
  </si>
  <si>
    <t>* Stunting (%) = Total Stunted / Total Balita Dipantau × 100%</t>
  </si>
  <si>
    <t>* Target nasional penurunan stunting: &lt;14% pada tahun 2024 (RPJMN 2020-2024)</t>
  </si>
  <si>
    <t>HASIL PEMANTAUAN STATUS GIZI (PSG) BALITA
DINAS KESEHATAN KABUPATEN SLEMAN
TAHUN 2023</t>
  </si>
  <si>
    <t>JUMLAH
SASARAN
BALITA</t>
  </si>
  <si>
    <t>TOTAL
BALITA
DIPANTAU</t>
  </si>
  <si>
    <t>PB/TB-U (STATUS GIZI BERDASARKAN TINGGI BADAN MENURUT UMUR)</t>
  </si>
  <si>
    <t>CAKUPAN
PEMANTAUAN
(%)</t>
  </si>
  <si>
    <t>KETERANGAN</t>
  </si>
  <si>
    <t>SANGAT
PENDEK</t>
  </si>
  <si>
    <t>PENDEK</t>
  </si>
  <si>
    <t>NORMAL</t>
  </si>
  <si>
    <t>TINGGI</t>
  </si>
  <si>
    <t>STUNTED
(SP+P)</t>
  </si>
  <si>
    <t>STUNTING</t>
  </si>
  <si>
    <t>* SP = Sangat Pendek (z-score &lt; -3 SD) | P = Pendek (-3 SD ≤ z-score &lt; -2 SD) | Normal (-2 SD ≤ z-score ≤ +2 SD) | Tinggi (z-score &gt; +2 SD)</t>
  </si>
  <si>
    <t>* Stunted = Sangat Pendek + Pendek | Stunting = anak stunted dibanding total dipantau</t>
  </si>
  <si>
    <t>* Cakupan Pemantauan (%) = Total Balita Dipantau / Jumlah Sasaran Balita × 100%</t>
  </si>
  <si>
    <t>HASIL PEMANTAUAN STATUS GIZI (PSG) BALITA
DINAS KESEHATAN KABUPATEN SLEMAN
TAHUN 2024</t>
  </si>
  <si>
    <t>HASIL PEMANTAUAN STATUS GIZI (PSG) BALITA
DINAS KESEHATAN KABUPATEN SLEMAN
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</si>
</sst>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sz val="9"/>
      <color rgb="FF00000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595959"/>
      <name val="Arial"/>
      <charset val="1"/>
    </font>
    <font>
      <i/>
      <sz val="8"/>
      <color rgb="FF595959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38135"/>
        <bgColor rgb="FF808000"/>
      </patternFill>
    </fill>
    <fill>
      <patternFill patternType="solid">
        <fgColor rgb="FFC55A11"/>
        <bgColor rgb="FF833C00"/>
      </patternFill>
    </fill>
    <fill>
      <patternFill patternType="solid">
        <fgColor rgb="FFFFFFFF"/>
        <bgColor rgb="FFF2F7FC"/>
      </patternFill>
    </fill>
    <fill>
      <patternFill patternType="solid">
        <fgColor rgb="FFF3E6FF"/>
        <bgColor rgb="FFDEEAF1"/>
      </patternFill>
    </fill>
    <fill>
      <patternFill patternType="solid">
        <fgColor rgb="FFFFDDD5"/>
        <bgColor rgb="FFF3E6FF"/>
      </patternFill>
    </fill>
    <fill>
      <patternFill patternType="solid">
        <fgColor rgb="FFF2F7FC"/>
        <bgColor rgb="FFFFFFFF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EEAF1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3" fontId="8" fillId="7" borderId="3" xfId="0" applyNumberFormat="1" applyFont="1" applyFill="1" applyBorder="1" applyAlignment="1">
      <alignment horizontal="center" vertical="center"/>
    </xf>
    <xf numFmtId="3" fontId="8" fillId="8" borderId="3" xfId="0" applyNumberFormat="1" applyFont="1" applyFill="1" applyBorder="1" applyAlignment="1">
      <alignment horizontal="center" vertical="center"/>
    </xf>
    <xf numFmtId="2" fontId="8" fillId="8" borderId="3" xfId="0" applyNumberFormat="1" applyFont="1" applyFill="1" applyBorder="1" applyAlignment="1">
      <alignment horizontal="center" vertical="center"/>
    </xf>
    <xf numFmtId="3" fontId="8" fillId="9" borderId="3" xfId="0" applyNumberFormat="1" applyFont="1" applyFill="1" applyBorder="1" applyAlignment="1">
      <alignment horizontal="center" vertical="center"/>
    </xf>
    <xf numFmtId="2" fontId="8" fillId="9" borderId="3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/>
    </xf>
    <xf numFmtId="3" fontId="8" fillId="10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3" fontId="6" fillId="7" borderId="3" xfId="0" applyNumberFormat="1" applyFont="1" applyFill="1" applyBorder="1" applyAlignment="1">
      <alignment horizontal="center" vertical="center"/>
    </xf>
    <xf numFmtId="2" fontId="8" fillId="7" borderId="3" xfId="0" applyNumberFormat="1" applyFont="1" applyFill="1" applyBorder="1" applyAlignment="1">
      <alignment horizontal="center" vertical="center"/>
    </xf>
    <xf numFmtId="2" fontId="8" fillId="15" borderId="3" xfId="0" applyNumberFormat="1" applyFont="1" applyFill="1" applyBorder="1" applyAlignment="1">
      <alignment horizontal="center" vertical="center"/>
    </xf>
    <xf numFmtId="3" fontId="6" fillId="10" borderId="3" xfId="0" applyNumberFormat="1" applyFont="1" applyFill="1" applyBorder="1" applyAlignment="1">
      <alignment horizontal="center" vertical="center"/>
    </xf>
    <xf numFmtId="2" fontId="8" fillId="10" borderId="3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0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9" fillId="0" borderId="0" xfId="0" applyFont="1"/>
    <xf numFmtId="0" fontId="4" fillId="6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7030A0"/>
      <rgbColor rgb="FFF2F7F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6FF"/>
      <rgbColor rgb="FFE2EFDA"/>
      <rgbColor rgb="FFFFFF99"/>
      <rgbColor rgb="FF99CCFF"/>
      <rgbColor rgb="FFFF99CC"/>
      <rgbColor rgb="FFCC99FF"/>
      <rgbColor rgb="FFFFDDD5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538135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showGridLines="0" zoomScaleNormal="100" workbookViewId="0">
      <pane xSplit="2" ySplit="6" topLeftCell="C34" activePane="bottomRight" state="frozen"/>
      <selection pane="topRight" activeCell="C1" sqref="C1"/>
      <selection pane="bottomLeft" activeCell="A7" sqref="A7"/>
      <selection pane="bottomRight"/>
    </sheetView>
  </sheetViews>
  <sheetFormatPr defaultColWidth="8.6328125" defaultRowHeight="14.5" x14ac:dyDescent="0.35"/>
  <cols>
    <col min="1" max="1" width="5" customWidth="1"/>
    <col min="2" max="2" width="16" customWidth="1"/>
    <col min="3" max="20" width="9" customWidth="1"/>
  </cols>
  <sheetData>
    <row r="1" spans="1:20" ht="54.75" customHeight="1" x14ac:dyDescent="0.3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15" customHeight="1" x14ac:dyDescent="0.35">
      <c r="A2" s="4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ht="4.5" customHeight="1" x14ac:dyDescent="0.35"/>
    <row r="4" spans="1:20" ht="21.75" customHeight="1" x14ac:dyDescent="0.35">
      <c r="A4" s="35" t="s">
        <v>2</v>
      </c>
      <c r="B4" s="35" t="s">
        <v>3</v>
      </c>
      <c r="C4" s="41" t="s">
        <v>4</v>
      </c>
      <c r="D4" s="39"/>
      <c r="E4" s="39"/>
      <c r="F4" s="39"/>
      <c r="G4" s="39"/>
      <c r="H4" s="39"/>
      <c r="I4" s="43" t="s">
        <v>5</v>
      </c>
      <c r="J4" s="39"/>
      <c r="K4" s="39"/>
      <c r="L4" s="39"/>
      <c r="M4" s="39"/>
      <c r="N4" s="39"/>
      <c r="O4" s="38" t="s">
        <v>6</v>
      </c>
      <c r="P4" s="39"/>
      <c r="Q4" s="39"/>
      <c r="R4" s="39"/>
      <c r="S4" s="39"/>
      <c r="T4" s="39"/>
    </row>
    <row r="5" spans="1:20" ht="27.75" customHeight="1" x14ac:dyDescent="0.35">
      <c r="A5" s="36"/>
      <c r="B5" s="36"/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3" t="s">
        <v>7</v>
      </c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</row>
    <row r="6" spans="1:20" ht="13.5" customHeight="1" x14ac:dyDescent="0.35">
      <c r="A6" s="36"/>
      <c r="B6" s="36"/>
      <c r="C6" s="1" t="s">
        <v>13</v>
      </c>
      <c r="D6" s="1" t="s">
        <v>13</v>
      </c>
      <c r="E6" s="1" t="s">
        <v>13</v>
      </c>
      <c r="F6" s="1" t="s">
        <v>14</v>
      </c>
      <c r="G6" s="1" t="s">
        <v>13</v>
      </c>
      <c r="H6" s="1" t="s">
        <v>14</v>
      </c>
      <c r="I6" s="2" t="s">
        <v>13</v>
      </c>
      <c r="J6" s="2" t="s">
        <v>13</v>
      </c>
      <c r="K6" s="2" t="s">
        <v>13</v>
      </c>
      <c r="L6" s="2" t="s">
        <v>14</v>
      </c>
      <c r="M6" s="2" t="s">
        <v>13</v>
      </c>
      <c r="N6" s="2" t="s">
        <v>14</v>
      </c>
      <c r="O6" s="3" t="s">
        <v>13</v>
      </c>
      <c r="P6" s="3" t="s">
        <v>13</v>
      </c>
      <c r="Q6" s="3" t="s">
        <v>13</v>
      </c>
      <c r="R6" s="3" t="s">
        <v>14</v>
      </c>
      <c r="S6" s="3" t="s">
        <v>13</v>
      </c>
      <c r="T6" s="3" t="s">
        <v>14</v>
      </c>
    </row>
    <row r="7" spans="1:20" ht="15" customHeight="1" x14ac:dyDescent="0.35">
      <c r="A7" s="4">
        <v>1</v>
      </c>
      <c r="B7" s="5" t="s">
        <v>15</v>
      </c>
      <c r="C7" s="6">
        <f>'2023'!C7</f>
        <v>1526</v>
      </c>
      <c r="D7" s="6">
        <f>'2023'!D7</f>
        <v>1514</v>
      </c>
      <c r="E7" s="7">
        <f>'2023'!M7</f>
        <v>103</v>
      </c>
      <c r="F7" s="8">
        <f>'2023'!N7</f>
        <v>6.8</v>
      </c>
      <c r="G7" s="9">
        <f>'2023'!O7</f>
        <v>77</v>
      </c>
      <c r="H7" s="10">
        <f>'2023'!P7</f>
        <v>5.09</v>
      </c>
      <c r="I7" s="6">
        <f>'2024'!C7</f>
        <v>1558</v>
      </c>
      <c r="J7" s="6">
        <f>'2024'!D7</f>
        <v>1535</v>
      </c>
      <c r="K7" s="7">
        <f>'2024'!M7</f>
        <v>89</v>
      </c>
      <c r="L7" s="8">
        <f>'2024'!N7</f>
        <v>5.8</v>
      </c>
      <c r="M7" s="9">
        <f>'2024'!O7</f>
        <v>72</v>
      </c>
      <c r="N7" s="10">
        <f>'2024'!P7</f>
        <v>4.6900000000000004</v>
      </c>
      <c r="O7" s="6">
        <f>'2025'!C7</f>
        <v>1420</v>
      </c>
      <c r="P7" s="6">
        <f>'2025'!D7</f>
        <v>1420</v>
      </c>
      <c r="Q7" s="7">
        <f>'2025'!M7</f>
        <v>64</v>
      </c>
      <c r="R7" s="8">
        <f>'2025'!N7</f>
        <v>4.51</v>
      </c>
      <c r="S7" s="9">
        <f>'2025'!O7</f>
        <v>56</v>
      </c>
      <c r="T7" s="10">
        <f>'2025'!P7</f>
        <v>3.94</v>
      </c>
    </row>
    <row r="8" spans="1:20" ht="15" customHeight="1" x14ac:dyDescent="0.35">
      <c r="A8" s="11">
        <v>2</v>
      </c>
      <c r="B8" s="12" t="s">
        <v>16</v>
      </c>
      <c r="C8" s="13">
        <f>'2023'!C8</f>
        <v>1578</v>
      </c>
      <c r="D8" s="13">
        <f>'2023'!D8</f>
        <v>1466</v>
      </c>
      <c r="E8" s="7">
        <f>'2023'!M8</f>
        <v>199</v>
      </c>
      <c r="F8" s="8">
        <f>'2023'!N8</f>
        <v>13.57</v>
      </c>
      <c r="G8" s="9">
        <f>'2023'!O8</f>
        <v>89</v>
      </c>
      <c r="H8" s="10">
        <f>'2023'!P8</f>
        <v>6.07</v>
      </c>
      <c r="I8" s="13">
        <f>'2024'!C8</f>
        <v>1461</v>
      </c>
      <c r="J8" s="13">
        <f>'2024'!D8</f>
        <v>1411</v>
      </c>
      <c r="K8" s="7">
        <f>'2024'!M8</f>
        <v>182</v>
      </c>
      <c r="L8" s="8">
        <f>'2024'!N8</f>
        <v>12.9</v>
      </c>
      <c r="M8" s="9">
        <f>'2024'!O8</f>
        <v>120</v>
      </c>
      <c r="N8" s="10">
        <f>'2024'!P8</f>
        <v>8.5</v>
      </c>
      <c r="O8" s="13">
        <f>'2025'!C8</f>
        <v>1446</v>
      </c>
      <c r="P8" s="13">
        <f>'2025'!D8</f>
        <v>1228</v>
      </c>
      <c r="Q8" s="7">
        <f>'2025'!M8</f>
        <v>116</v>
      </c>
      <c r="R8" s="8">
        <f>'2025'!N8</f>
        <v>9.4499999999999993</v>
      </c>
      <c r="S8" s="9">
        <f>'2025'!O8</f>
        <v>76</v>
      </c>
      <c r="T8" s="10">
        <f>'2025'!P8</f>
        <v>6.19</v>
      </c>
    </row>
    <row r="9" spans="1:20" ht="15" customHeight="1" x14ac:dyDescent="0.35">
      <c r="A9" s="4">
        <v>3</v>
      </c>
      <c r="B9" s="5" t="s">
        <v>17</v>
      </c>
      <c r="C9" s="6">
        <f>'2023'!C9</f>
        <v>2515</v>
      </c>
      <c r="D9" s="6">
        <f>'2023'!D9</f>
        <v>2165</v>
      </c>
      <c r="E9" s="7">
        <f>'2023'!M9</f>
        <v>165</v>
      </c>
      <c r="F9" s="8">
        <f>'2023'!N9</f>
        <v>7.62</v>
      </c>
      <c r="G9" s="9">
        <f>'2023'!O9</f>
        <v>156</v>
      </c>
      <c r="H9" s="10">
        <f>'2023'!P9</f>
        <v>7.21</v>
      </c>
      <c r="I9" s="6">
        <f>'2024'!C9</f>
        <v>2522</v>
      </c>
      <c r="J9" s="6">
        <f>'2024'!D9</f>
        <v>2459</v>
      </c>
      <c r="K9" s="7">
        <f>'2024'!M9</f>
        <v>206</v>
      </c>
      <c r="L9" s="8">
        <f>'2024'!N9</f>
        <v>8.3800000000000008</v>
      </c>
      <c r="M9" s="9">
        <f>'2024'!O9</f>
        <v>174</v>
      </c>
      <c r="N9" s="10">
        <f>'2024'!P9</f>
        <v>7.08</v>
      </c>
      <c r="O9" s="6">
        <f>'2025'!C9</f>
        <v>2329</v>
      </c>
      <c r="P9" s="6">
        <f>'2025'!D9</f>
        <v>2316</v>
      </c>
      <c r="Q9" s="7">
        <f>'2025'!M9</f>
        <v>148</v>
      </c>
      <c r="R9" s="8">
        <f>'2025'!N9</f>
        <v>6.39</v>
      </c>
      <c r="S9" s="9">
        <f>'2025'!O9</f>
        <v>139</v>
      </c>
      <c r="T9" s="10">
        <f>'2025'!P9</f>
        <v>6</v>
      </c>
    </row>
    <row r="10" spans="1:20" ht="15" customHeight="1" x14ac:dyDescent="0.35">
      <c r="A10" s="11">
        <v>4</v>
      </c>
      <c r="B10" s="12" t="s">
        <v>18</v>
      </c>
      <c r="C10" s="13">
        <f>'2023'!C10</f>
        <v>1909</v>
      </c>
      <c r="D10" s="13">
        <f>'2023'!D10</f>
        <v>1388</v>
      </c>
      <c r="E10" s="7">
        <f>'2023'!M10</f>
        <v>60</v>
      </c>
      <c r="F10" s="8">
        <f>'2023'!N10</f>
        <v>4.32</v>
      </c>
      <c r="G10" s="9">
        <f>'2023'!O10</f>
        <v>60</v>
      </c>
      <c r="H10" s="10">
        <f>'2023'!P10</f>
        <v>4.32</v>
      </c>
      <c r="I10" s="13">
        <f>'2024'!C10</f>
        <v>1893</v>
      </c>
      <c r="J10" s="13">
        <f>'2024'!D10</f>
        <v>1868</v>
      </c>
      <c r="K10" s="7">
        <f>'2024'!M10</f>
        <v>64</v>
      </c>
      <c r="L10" s="8">
        <f>'2024'!N10</f>
        <v>3.43</v>
      </c>
      <c r="M10" s="9">
        <f>'2024'!O10</f>
        <v>61</v>
      </c>
      <c r="N10" s="10">
        <f>'2024'!P10</f>
        <v>3.5</v>
      </c>
      <c r="O10" s="13">
        <f>'2025'!C10</f>
        <v>1684</v>
      </c>
      <c r="P10" s="13">
        <f>'2025'!D10</f>
        <v>1684</v>
      </c>
      <c r="Q10" s="7">
        <f>'2025'!M10</f>
        <v>101</v>
      </c>
      <c r="R10" s="8">
        <f>'2025'!N10</f>
        <v>6</v>
      </c>
      <c r="S10" s="9">
        <f>'2025'!O10</f>
        <v>66</v>
      </c>
      <c r="T10" s="10">
        <f>'2025'!P10</f>
        <v>3.92</v>
      </c>
    </row>
    <row r="11" spans="1:20" ht="15" customHeight="1" x14ac:dyDescent="0.35">
      <c r="A11" s="4">
        <v>5</v>
      </c>
      <c r="B11" s="5" t="s">
        <v>19</v>
      </c>
      <c r="C11" s="6">
        <f>'2023'!C11</f>
        <v>1793</v>
      </c>
      <c r="D11" s="6">
        <f>'2023'!D11</f>
        <v>1745</v>
      </c>
      <c r="E11" s="7">
        <f>'2023'!M11</f>
        <v>76</v>
      </c>
      <c r="F11" s="8">
        <f>'2023'!N11</f>
        <v>4.3600000000000003</v>
      </c>
      <c r="G11" s="9">
        <f>'2023'!O11</f>
        <v>50</v>
      </c>
      <c r="H11" s="10">
        <f>'2023'!P11</f>
        <v>2.87</v>
      </c>
      <c r="I11" s="6">
        <f>'2024'!C11</f>
        <v>1793</v>
      </c>
      <c r="J11" s="6">
        <f>'2024'!D11</f>
        <v>1868</v>
      </c>
      <c r="K11" s="7">
        <f>'2024'!M11</f>
        <v>131</v>
      </c>
      <c r="L11" s="8">
        <f>'2024'!N11</f>
        <v>7.51</v>
      </c>
      <c r="M11" s="9">
        <f>'2024'!O11</f>
        <v>61</v>
      </c>
      <c r="N11" s="10">
        <f>'2024'!P11</f>
        <v>3.5</v>
      </c>
      <c r="O11" s="6">
        <f>'2025'!C11</f>
        <v>1684</v>
      </c>
      <c r="P11" s="6">
        <f>'2025'!D11</f>
        <v>1684</v>
      </c>
      <c r="Q11" s="7">
        <f>'2025'!M11</f>
        <v>108</v>
      </c>
      <c r="R11" s="8">
        <f>'2025'!N11</f>
        <v>6.41</v>
      </c>
      <c r="S11" s="9">
        <f>'2025'!O11</f>
        <v>66</v>
      </c>
      <c r="T11" s="10">
        <f>'2025'!P11</f>
        <v>3.92</v>
      </c>
    </row>
    <row r="12" spans="1:20" ht="15" customHeight="1" x14ac:dyDescent="0.35">
      <c r="A12" s="11">
        <v>6</v>
      </c>
      <c r="B12" s="12" t="s">
        <v>20</v>
      </c>
      <c r="C12" s="13">
        <f>'2023'!C12</f>
        <v>2106</v>
      </c>
      <c r="D12" s="13">
        <f>'2023'!D12</f>
        <v>1957</v>
      </c>
      <c r="E12" s="7">
        <f>'2023'!M12</f>
        <v>102</v>
      </c>
      <c r="F12" s="8">
        <f>'2023'!N12</f>
        <v>5.21</v>
      </c>
      <c r="G12" s="9">
        <f>'2023'!O12</f>
        <v>102</v>
      </c>
      <c r="H12" s="10">
        <f>'2023'!P12</f>
        <v>5.21</v>
      </c>
      <c r="I12" s="13">
        <f>'2024'!C12</f>
        <v>1900</v>
      </c>
      <c r="J12" s="13">
        <f>'2024'!D12</f>
        <v>1853</v>
      </c>
      <c r="K12" s="7">
        <f>'2024'!M12</f>
        <v>92</v>
      </c>
      <c r="L12" s="8">
        <f>'2024'!N12</f>
        <v>4.96</v>
      </c>
      <c r="M12" s="9">
        <f>'2024'!O12</f>
        <v>66</v>
      </c>
      <c r="N12" s="10">
        <f>'2024'!P12</f>
        <v>3.56</v>
      </c>
      <c r="O12" s="13">
        <f>'2025'!C12</f>
        <v>1715</v>
      </c>
      <c r="P12" s="13">
        <f>'2025'!D12</f>
        <v>1715</v>
      </c>
      <c r="Q12" s="7">
        <f>'2025'!M12</f>
        <v>81</v>
      </c>
      <c r="R12" s="8">
        <f>'2025'!N12</f>
        <v>4.72</v>
      </c>
      <c r="S12" s="9">
        <f>'2025'!O12</f>
        <v>65</v>
      </c>
      <c r="T12" s="10">
        <f>'2025'!P12</f>
        <v>3.79</v>
      </c>
    </row>
    <row r="13" spans="1:20" ht="15" customHeight="1" x14ac:dyDescent="0.35">
      <c r="A13" s="4">
        <v>7</v>
      </c>
      <c r="B13" s="5" t="s">
        <v>21</v>
      </c>
      <c r="C13" s="6">
        <f>'2023'!C13</f>
        <v>2288</v>
      </c>
      <c r="D13" s="6">
        <f>'2023'!D13</f>
        <v>2216</v>
      </c>
      <c r="E13" s="7">
        <f>'2023'!M13</f>
        <v>124</v>
      </c>
      <c r="F13" s="8">
        <f>'2023'!N13</f>
        <v>5.6</v>
      </c>
      <c r="G13" s="9">
        <f>'2023'!O13</f>
        <v>73</v>
      </c>
      <c r="H13" s="10">
        <f>'2023'!P13</f>
        <v>3.29</v>
      </c>
      <c r="I13" s="6">
        <f>'2024'!C13</f>
        <v>1900</v>
      </c>
      <c r="J13" s="6">
        <f>'2024'!D13</f>
        <v>1745</v>
      </c>
      <c r="K13" s="7">
        <f>'2024'!M13</f>
        <v>92</v>
      </c>
      <c r="L13" s="8">
        <f>'2024'!N13</f>
        <v>5.27</v>
      </c>
      <c r="M13" s="9">
        <f>'2024'!O13</f>
        <v>66</v>
      </c>
      <c r="N13" s="10">
        <f>'2024'!P13</f>
        <v>3.78</v>
      </c>
      <c r="O13" s="6">
        <f>'2025'!C13</f>
        <v>1715</v>
      </c>
      <c r="P13" s="6">
        <f>'2025'!D13</f>
        <v>1581</v>
      </c>
      <c r="Q13" s="7">
        <f>'2025'!M13</f>
        <v>88</v>
      </c>
      <c r="R13" s="8">
        <f>'2025'!N13</f>
        <v>5.56</v>
      </c>
      <c r="S13" s="9">
        <f>'2025'!O13</f>
        <v>65</v>
      </c>
      <c r="T13" s="10">
        <f>'2025'!P13</f>
        <v>4.1100000000000003</v>
      </c>
    </row>
    <row r="14" spans="1:20" ht="15" customHeight="1" x14ac:dyDescent="0.35">
      <c r="A14" s="11">
        <v>8</v>
      </c>
      <c r="B14" s="12" t="s">
        <v>22</v>
      </c>
      <c r="C14" s="13">
        <f>'2023'!C14</f>
        <v>2838</v>
      </c>
      <c r="D14" s="13">
        <f>'2023'!D14</f>
        <v>2561</v>
      </c>
      <c r="E14" s="7">
        <f>'2023'!M14</f>
        <v>159</v>
      </c>
      <c r="F14" s="8">
        <f>'2023'!N14</f>
        <v>6.21</v>
      </c>
      <c r="G14" s="9">
        <f>'2023'!O14</f>
        <v>103</v>
      </c>
      <c r="H14" s="10">
        <f>'2023'!P14</f>
        <v>4.0199999999999996</v>
      </c>
      <c r="I14" s="13">
        <f>'2024'!C14</f>
        <v>2755</v>
      </c>
      <c r="J14" s="13">
        <f>'2024'!D14</f>
        <v>2710</v>
      </c>
      <c r="K14" s="7">
        <f>'2024'!M14</f>
        <v>137</v>
      </c>
      <c r="L14" s="8">
        <f>'2024'!N14</f>
        <v>5.0599999999999996</v>
      </c>
      <c r="M14" s="9">
        <f>'2024'!O14</f>
        <v>84</v>
      </c>
      <c r="N14" s="10">
        <f>'2024'!P14</f>
        <v>3.77</v>
      </c>
      <c r="O14" s="13">
        <f>'2025'!C14</f>
        <v>2135</v>
      </c>
      <c r="P14" s="13">
        <f>'2025'!D14</f>
        <v>2134</v>
      </c>
      <c r="Q14" s="7">
        <f>'2025'!M14</f>
        <v>133</v>
      </c>
      <c r="R14" s="8">
        <f>'2025'!N14</f>
        <v>6.23</v>
      </c>
      <c r="S14" s="9">
        <f>'2025'!O14</f>
        <v>80</v>
      </c>
      <c r="T14" s="10">
        <f>'2025'!P14</f>
        <v>3.75</v>
      </c>
    </row>
    <row r="15" spans="1:20" ht="15" customHeight="1" x14ac:dyDescent="0.35">
      <c r="A15" s="4">
        <v>9</v>
      </c>
      <c r="B15" s="5" t="s">
        <v>23</v>
      </c>
      <c r="C15" s="6">
        <f>'2023'!C15</f>
        <v>2755</v>
      </c>
      <c r="D15" s="6">
        <f>'2023'!D15</f>
        <v>2710</v>
      </c>
      <c r="E15" s="7">
        <f>'2023'!M15</f>
        <v>137</v>
      </c>
      <c r="F15" s="8">
        <f>'2023'!N15</f>
        <v>5.0599999999999996</v>
      </c>
      <c r="G15" s="9">
        <f>'2023'!O15</f>
        <v>84</v>
      </c>
      <c r="H15" s="10">
        <f>'2023'!P15</f>
        <v>3.1</v>
      </c>
      <c r="I15" s="6">
        <f>'2024'!C15</f>
        <v>2838</v>
      </c>
      <c r="J15" s="6">
        <f>'2024'!D15</f>
        <v>2573</v>
      </c>
      <c r="K15" s="7">
        <f>'2024'!M15</f>
        <v>153</v>
      </c>
      <c r="L15" s="8">
        <f>'2024'!N15</f>
        <v>5.95</v>
      </c>
      <c r="M15" s="9">
        <f>'2024'!O15</f>
        <v>84</v>
      </c>
      <c r="N15" s="10">
        <f>'2024'!P15</f>
        <v>3.26</v>
      </c>
      <c r="O15" s="6">
        <f>'2025'!C15</f>
        <v>2135</v>
      </c>
      <c r="P15" s="6">
        <f>'2025'!D15</f>
        <v>1997</v>
      </c>
      <c r="Q15" s="7">
        <f>'2025'!M15</f>
        <v>133</v>
      </c>
      <c r="R15" s="8">
        <f>'2025'!N15</f>
        <v>6.66</v>
      </c>
      <c r="S15" s="9">
        <f>'2025'!O15</f>
        <v>80</v>
      </c>
      <c r="T15" s="10">
        <f>'2025'!P15</f>
        <v>4.01</v>
      </c>
    </row>
    <row r="16" spans="1:20" ht="15" customHeight="1" x14ac:dyDescent="0.35">
      <c r="A16" s="11">
        <v>10</v>
      </c>
      <c r="B16" s="12" t="s">
        <v>24</v>
      </c>
      <c r="C16" s="13">
        <f>'2023'!C16</f>
        <v>1576</v>
      </c>
      <c r="D16" s="13">
        <f>'2023'!D16</f>
        <v>1219</v>
      </c>
      <c r="E16" s="7">
        <f>'2023'!M16</f>
        <v>59</v>
      </c>
      <c r="F16" s="8">
        <f>'2023'!N16</f>
        <v>4.84</v>
      </c>
      <c r="G16" s="9">
        <f>'2023'!O16</f>
        <v>46</v>
      </c>
      <c r="H16" s="10">
        <f>'2023'!P16</f>
        <v>3.77</v>
      </c>
      <c r="I16" s="13">
        <f>'2024'!C16</f>
        <v>1430</v>
      </c>
      <c r="J16" s="13">
        <f>'2024'!D16</f>
        <v>1313</v>
      </c>
      <c r="K16" s="7">
        <f>'2024'!M16</f>
        <v>50</v>
      </c>
      <c r="L16" s="8">
        <f>'2024'!N16</f>
        <v>3.81</v>
      </c>
      <c r="M16" s="9">
        <f>'2024'!O16</f>
        <v>47</v>
      </c>
      <c r="N16" s="10">
        <f>'2024'!P16</f>
        <v>3.78</v>
      </c>
      <c r="O16" s="13">
        <f>'2025'!C16</f>
        <v>1419</v>
      </c>
      <c r="P16" s="13">
        <f>'2025'!D16</f>
        <v>1244</v>
      </c>
      <c r="Q16" s="7">
        <f>'2025'!M16</f>
        <v>50</v>
      </c>
      <c r="R16" s="8">
        <f>'2025'!N16</f>
        <v>4.0199999999999996</v>
      </c>
      <c r="S16" s="9">
        <f>'2025'!O16</f>
        <v>47</v>
      </c>
      <c r="T16" s="10">
        <f>'2025'!P16</f>
        <v>3.78</v>
      </c>
    </row>
    <row r="17" spans="1:20" ht="15" customHeight="1" x14ac:dyDescent="0.35">
      <c r="A17" s="4">
        <v>11</v>
      </c>
      <c r="B17" s="5" t="s">
        <v>25</v>
      </c>
      <c r="C17" s="6">
        <f>'2023'!C17</f>
        <v>1723</v>
      </c>
      <c r="D17" s="6">
        <f>'2023'!D17</f>
        <v>1435</v>
      </c>
      <c r="E17" s="7">
        <f>'2023'!M17</f>
        <v>65</v>
      </c>
      <c r="F17" s="8">
        <f>'2023'!N17</f>
        <v>4.53</v>
      </c>
      <c r="G17" s="9">
        <f>'2023'!O17</f>
        <v>59</v>
      </c>
      <c r="H17" s="10">
        <f>'2023'!P17</f>
        <v>4.1100000000000003</v>
      </c>
      <c r="I17" s="6">
        <f>'2024'!C17</f>
        <v>1576</v>
      </c>
      <c r="J17" s="6">
        <f>'2024'!D17</f>
        <v>1271</v>
      </c>
      <c r="K17" s="7">
        <f>'2024'!M17</f>
        <v>71</v>
      </c>
      <c r="L17" s="8">
        <f>'2024'!N17</f>
        <v>5.59</v>
      </c>
      <c r="M17" s="9">
        <f>'2024'!O17</f>
        <v>59</v>
      </c>
      <c r="N17" s="10">
        <f>'2024'!P17</f>
        <v>4.6399999999999997</v>
      </c>
      <c r="O17" s="6">
        <f>'2025'!C17</f>
        <v>1419</v>
      </c>
      <c r="P17" s="6">
        <f>'2025'!D17</f>
        <v>1100</v>
      </c>
      <c r="Q17" s="7">
        <f>'2025'!M17</f>
        <v>92</v>
      </c>
      <c r="R17" s="8">
        <f>'2025'!N17</f>
        <v>8.36</v>
      </c>
      <c r="S17" s="9">
        <f>'2025'!O17</f>
        <v>50</v>
      </c>
      <c r="T17" s="10">
        <f>'2025'!P17</f>
        <v>4.55</v>
      </c>
    </row>
    <row r="18" spans="1:20" ht="15" customHeight="1" x14ac:dyDescent="0.35">
      <c r="A18" s="11">
        <v>12</v>
      </c>
      <c r="B18" s="12" t="s">
        <v>26</v>
      </c>
      <c r="C18" s="13">
        <f>'2023'!C18</f>
        <v>1380</v>
      </c>
      <c r="D18" s="13">
        <f>'2023'!D18</f>
        <v>1364</v>
      </c>
      <c r="E18" s="7">
        <f>'2023'!M18</f>
        <v>103</v>
      </c>
      <c r="F18" s="8">
        <f>'2023'!N18</f>
        <v>7.55</v>
      </c>
      <c r="G18" s="9">
        <f>'2023'!O18</f>
        <v>72</v>
      </c>
      <c r="H18" s="10">
        <f>'2023'!P18</f>
        <v>5.28</v>
      </c>
      <c r="I18" s="13">
        <f>'2024'!C18</f>
        <v>1380</v>
      </c>
      <c r="J18" s="13">
        <f>'2024'!D18</f>
        <v>1294</v>
      </c>
      <c r="K18" s="7">
        <f>'2024'!M18</f>
        <v>77</v>
      </c>
      <c r="L18" s="8">
        <f>'2024'!N18</f>
        <v>5.95</v>
      </c>
      <c r="M18" s="9">
        <f>'2024'!O18</f>
        <v>72</v>
      </c>
      <c r="N18" s="10">
        <f>'2024'!P18</f>
        <v>5.56</v>
      </c>
      <c r="O18" s="13">
        <f>'2025'!C18</f>
        <v>1333</v>
      </c>
      <c r="P18" s="13">
        <f>'2025'!D18</f>
        <v>1170</v>
      </c>
      <c r="Q18" s="7">
        <f>'2025'!M18</f>
        <v>111</v>
      </c>
      <c r="R18" s="8">
        <f>'2025'!N18</f>
        <v>9.49</v>
      </c>
      <c r="S18" s="9">
        <f>'2025'!O18</f>
        <v>47</v>
      </c>
      <c r="T18" s="10">
        <f>'2025'!P18</f>
        <v>4.0199999999999996</v>
      </c>
    </row>
    <row r="19" spans="1:20" ht="15" customHeight="1" x14ac:dyDescent="0.35">
      <c r="A19" s="4">
        <v>13</v>
      </c>
      <c r="B19" s="5" t="s">
        <v>27</v>
      </c>
      <c r="C19" s="6">
        <f>'2023'!C19</f>
        <v>3180</v>
      </c>
      <c r="D19" s="6">
        <f>'2023'!D19</f>
        <v>3042</v>
      </c>
      <c r="E19" s="7">
        <f>'2023'!M19</f>
        <v>148</v>
      </c>
      <c r="F19" s="8">
        <f>'2023'!N19</f>
        <v>4.87</v>
      </c>
      <c r="G19" s="9">
        <f>'2023'!O19</f>
        <v>72</v>
      </c>
      <c r="H19" s="10">
        <f>'2023'!P19</f>
        <v>2.37</v>
      </c>
      <c r="I19" s="6">
        <f>'2024'!C19</f>
        <v>3172</v>
      </c>
      <c r="J19" s="6">
        <f>'2024'!D19</f>
        <v>3041</v>
      </c>
      <c r="K19" s="7">
        <f>'2024'!M19</f>
        <v>186</v>
      </c>
      <c r="L19" s="8">
        <f>'2024'!N19</f>
        <v>6.12</v>
      </c>
      <c r="M19" s="9">
        <f>'2024'!O19</f>
        <v>90</v>
      </c>
      <c r="N19" s="10">
        <f>'2024'!P19</f>
        <v>2.96</v>
      </c>
      <c r="O19" s="6">
        <f>'2025'!C19</f>
        <v>2945</v>
      </c>
      <c r="P19" s="6">
        <f>'2025'!D19</f>
        <v>2945</v>
      </c>
      <c r="Q19" s="7">
        <f>'2025'!M19</f>
        <v>144</v>
      </c>
      <c r="R19" s="8">
        <f>'2025'!N19</f>
        <v>4.8899999999999997</v>
      </c>
      <c r="S19" s="9">
        <f>'2025'!O19</f>
        <v>95</v>
      </c>
      <c r="T19" s="10">
        <f>'2025'!P19</f>
        <v>3.23</v>
      </c>
    </row>
    <row r="20" spans="1:20" ht="15" customHeight="1" x14ac:dyDescent="0.35">
      <c r="A20" s="11">
        <v>14</v>
      </c>
      <c r="B20" s="12" t="s">
        <v>28</v>
      </c>
      <c r="C20" s="13">
        <f>'2023'!C20</f>
        <v>3173</v>
      </c>
      <c r="D20" s="13">
        <f>'2023'!D20</f>
        <v>3079</v>
      </c>
      <c r="E20" s="7">
        <f>'2023'!M20</f>
        <v>185</v>
      </c>
      <c r="F20" s="8">
        <f>'2023'!N20</f>
        <v>6.01</v>
      </c>
      <c r="G20" s="9">
        <f>'2023'!O20</f>
        <v>169</v>
      </c>
      <c r="H20" s="10">
        <f>'2023'!P20</f>
        <v>5.49</v>
      </c>
      <c r="I20" s="13">
        <f>'2024'!C20</f>
        <v>2950</v>
      </c>
      <c r="J20" s="13">
        <f>'2024'!D20</f>
        <v>2912</v>
      </c>
      <c r="K20" s="7">
        <f>'2024'!M20</f>
        <v>193</v>
      </c>
      <c r="L20" s="8">
        <f>'2024'!N20</f>
        <v>6.63</v>
      </c>
      <c r="M20" s="9">
        <f>'2024'!O20</f>
        <v>142</v>
      </c>
      <c r="N20" s="10">
        <f>'2024'!P20</f>
        <v>4.88</v>
      </c>
      <c r="O20" s="13">
        <f>'2025'!C20</f>
        <v>2681</v>
      </c>
      <c r="P20" s="13">
        <f>'2025'!D20</f>
        <v>2602</v>
      </c>
      <c r="Q20" s="7">
        <f>'2025'!M20</f>
        <v>166</v>
      </c>
      <c r="R20" s="8">
        <f>'2025'!N20</f>
        <v>6.38</v>
      </c>
      <c r="S20" s="9">
        <f>'2025'!O20</f>
        <v>113</v>
      </c>
      <c r="T20" s="10">
        <f>'2025'!P20</f>
        <v>4.34</v>
      </c>
    </row>
    <row r="21" spans="1:20" ht="15" customHeight="1" x14ac:dyDescent="0.35">
      <c r="A21" s="4">
        <v>15</v>
      </c>
      <c r="B21" s="5" t="s">
        <v>29</v>
      </c>
      <c r="C21" s="6">
        <f>'2023'!C21</f>
        <v>4324</v>
      </c>
      <c r="D21" s="6">
        <f>'2023'!D21</f>
        <v>3220</v>
      </c>
      <c r="E21" s="7">
        <f>'2023'!M21</f>
        <v>223</v>
      </c>
      <c r="F21" s="8">
        <f>'2023'!N21</f>
        <v>6.93</v>
      </c>
      <c r="G21" s="9">
        <f>'2023'!O21</f>
        <v>167</v>
      </c>
      <c r="H21" s="10">
        <f>'2023'!P21</f>
        <v>5.19</v>
      </c>
      <c r="I21" s="6">
        <f>'2024'!C21</f>
        <v>3995</v>
      </c>
      <c r="J21" s="6">
        <f>'2024'!D21</f>
        <v>3780</v>
      </c>
      <c r="K21" s="7">
        <f>'2024'!M21</f>
        <v>193</v>
      </c>
      <c r="L21" s="8">
        <f>'2024'!N21</f>
        <v>5.1100000000000003</v>
      </c>
      <c r="M21" s="9">
        <f>'2024'!O21</f>
        <v>175</v>
      </c>
      <c r="N21" s="10">
        <f>'2024'!P21</f>
        <v>4.63</v>
      </c>
      <c r="O21" s="6">
        <f>'2025'!C21</f>
        <v>3921</v>
      </c>
      <c r="P21" s="6">
        <f>'2025'!D21</f>
        <v>3862</v>
      </c>
      <c r="Q21" s="7">
        <f>'2025'!M21</f>
        <v>224</v>
      </c>
      <c r="R21" s="8">
        <f>'2025'!N21</f>
        <v>5.8</v>
      </c>
      <c r="S21" s="9">
        <f>'2025'!O21</f>
        <v>176</v>
      </c>
      <c r="T21" s="10">
        <f>'2025'!P21</f>
        <v>4.5599999999999996</v>
      </c>
    </row>
    <row r="22" spans="1:20" ht="15" customHeight="1" x14ac:dyDescent="0.35">
      <c r="A22" s="11">
        <v>16</v>
      </c>
      <c r="B22" s="12" t="s">
        <v>30</v>
      </c>
      <c r="C22" s="13">
        <f>'2023'!C22</f>
        <v>1307</v>
      </c>
      <c r="D22" s="13">
        <f>'2023'!D22</f>
        <v>1188</v>
      </c>
      <c r="E22" s="7">
        <f>'2023'!M22</f>
        <v>96</v>
      </c>
      <c r="F22" s="8">
        <f>'2023'!N22</f>
        <v>8.08</v>
      </c>
      <c r="G22" s="9">
        <f>'2023'!O22</f>
        <v>55</v>
      </c>
      <c r="H22" s="10">
        <f>'2023'!P22</f>
        <v>4.63</v>
      </c>
      <c r="I22" s="13">
        <f>'2024'!C22</f>
        <v>1352</v>
      </c>
      <c r="J22" s="13">
        <f>'2024'!D22</f>
        <v>1343</v>
      </c>
      <c r="K22" s="7">
        <f>'2024'!M22</f>
        <v>132</v>
      </c>
      <c r="L22" s="8">
        <f>'2024'!N22</f>
        <v>9.83</v>
      </c>
      <c r="M22" s="9">
        <f>'2024'!O22</f>
        <v>65</v>
      </c>
      <c r="N22" s="10">
        <f>'2024'!P22</f>
        <v>4.84</v>
      </c>
      <c r="O22" s="13">
        <f>'2025'!C22</f>
        <v>2195</v>
      </c>
      <c r="P22" s="13">
        <f>'2025'!D22</f>
        <v>2079</v>
      </c>
      <c r="Q22" s="7">
        <f>'2025'!M22</f>
        <v>161</v>
      </c>
      <c r="R22" s="8">
        <f>'2025'!N22</f>
        <v>7.74</v>
      </c>
      <c r="S22" s="9">
        <f>'2025'!O22</f>
        <v>85</v>
      </c>
      <c r="T22" s="10">
        <f>'2025'!P22</f>
        <v>4.09</v>
      </c>
    </row>
    <row r="23" spans="1:20" ht="15" customHeight="1" x14ac:dyDescent="0.35">
      <c r="A23" s="4">
        <v>17</v>
      </c>
      <c r="B23" s="5" t="s">
        <v>31</v>
      </c>
      <c r="C23" s="6">
        <f>'2023'!C23</f>
        <v>2346</v>
      </c>
      <c r="D23" s="6">
        <f>'2023'!D23</f>
        <v>2279</v>
      </c>
      <c r="E23" s="7">
        <f>'2023'!M23</f>
        <v>148</v>
      </c>
      <c r="F23" s="8">
        <f>'2023'!N23</f>
        <v>6.49</v>
      </c>
      <c r="G23" s="9">
        <f>'2023'!O23</f>
        <v>95</v>
      </c>
      <c r="H23" s="10">
        <f>'2023'!P23</f>
        <v>4.17</v>
      </c>
      <c r="I23" s="6">
        <f>'2024'!C23</f>
        <v>2346</v>
      </c>
      <c r="J23" s="6">
        <f>'2024'!D23</f>
        <v>2071</v>
      </c>
      <c r="K23" s="7">
        <f>'2024'!M23</f>
        <v>118</v>
      </c>
      <c r="L23" s="8">
        <f>'2024'!N23</f>
        <v>5.7</v>
      </c>
      <c r="M23" s="9">
        <f>'2024'!O23</f>
        <v>65</v>
      </c>
      <c r="N23" s="10">
        <f>'2024'!P23</f>
        <v>3.14</v>
      </c>
      <c r="O23" s="6">
        <f>'2025'!C23</f>
        <v>2195</v>
      </c>
      <c r="P23" s="6">
        <f>'2025'!D23</f>
        <v>1808</v>
      </c>
      <c r="Q23" s="7">
        <f>'2025'!M23</f>
        <v>141</v>
      </c>
      <c r="R23" s="8">
        <f>'2025'!N23</f>
        <v>7.8</v>
      </c>
      <c r="S23" s="9">
        <f>'2025'!O23</f>
        <v>67</v>
      </c>
      <c r="T23" s="10">
        <f>'2025'!P23</f>
        <v>3.71</v>
      </c>
    </row>
    <row r="24" spans="1:20" ht="15" customHeight="1" x14ac:dyDescent="0.35">
      <c r="A24" s="11">
        <v>18</v>
      </c>
      <c r="B24" s="12" t="s">
        <v>32</v>
      </c>
      <c r="C24" s="13">
        <f>'2023'!C24</f>
        <v>2420</v>
      </c>
      <c r="D24" s="13">
        <f>'2023'!D24</f>
        <v>2071</v>
      </c>
      <c r="E24" s="7">
        <f>'2023'!M24</f>
        <v>112</v>
      </c>
      <c r="F24" s="8">
        <f>'2023'!N24</f>
        <v>5.41</v>
      </c>
      <c r="G24" s="9">
        <f>'2023'!O24</f>
        <v>54</v>
      </c>
      <c r="H24" s="10">
        <f>'2023'!P24</f>
        <v>2.61</v>
      </c>
      <c r="I24" s="13">
        <f>'2024'!C24</f>
        <v>2220</v>
      </c>
      <c r="J24" s="13">
        <f>'2024'!D24</f>
        <v>2153</v>
      </c>
      <c r="K24" s="7">
        <f>'2024'!M24</f>
        <v>112</v>
      </c>
      <c r="L24" s="8">
        <f>'2024'!N24</f>
        <v>5.2</v>
      </c>
      <c r="M24" s="9">
        <f>'2024'!O24</f>
        <v>55</v>
      </c>
      <c r="N24" s="10">
        <f>'2024'!P24</f>
        <v>2.6</v>
      </c>
      <c r="O24" s="13">
        <f>'2025'!C24</f>
        <v>2069</v>
      </c>
      <c r="P24" s="13">
        <f>'2025'!D24</f>
        <v>2062</v>
      </c>
      <c r="Q24" s="7">
        <f>'2025'!M24</f>
        <v>154</v>
      </c>
      <c r="R24" s="8">
        <f>'2025'!N24</f>
        <v>7.47</v>
      </c>
      <c r="S24" s="9">
        <f>'2025'!O24</f>
        <v>97</v>
      </c>
      <c r="T24" s="10">
        <f>'2025'!P24</f>
        <v>4.7</v>
      </c>
    </row>
    <row r="25" spans="1:20" ht="15" customHeight="1" x14ac:dyDescent="0.35">
      <c r="A25" s="4">
        <v>19</v>
      </c>
      <c r="B25" s="5" t="s">
        <v>33</v>
      </c>
      <c r="C25" s="6">
        <f>'2023'!C25</f>
        <v>2257</v>
      </c>
      <c r="D25" s="6">
        <f>'2023'!D25</f>
        <v>2115</v>
      </c>
      <c r="E25" s="7">
        <f>'2023'!M25</f>
        <v>57</v>
      </c>
      <c r="F25" s="8">
        <f>'2023'!N25</f>
        <v>2.7</v>
      </c>
      <c r="G25" s="9">
        <f>'2023'!O25</f>
        <v>62</v>
      </c>
      <c r="H25" s="10">
        <f>'2023'!P25</f>
        <v>2.93</v>
      </c>
      <c r="I25" s="6">
        <f>'2024'!C25</f>
        <v>2257</v>
      </c>
      <c r="J25" s="6">
        <f>'2024'!D25</f>
        <v>2115</v>
      </c>
      <c r="K25" s="7">
        <f>'2024'!M25</f>
        <v>57</v>
      </c>
      <c r="L25" s="8">
        <f>'2024'!N25</f>
        <v>2.7</v>
      </c>
      <c r="M25" s="9">
        <f>'2024'!O25</f>
        <v>55</v>
      </c>
      <c r="N25" s="10">
        <f>'2024'!P25</f>
        <v>2.6</v>
      </c>
      <c r="O25" s="6">
        <f>'2025'!C25</f>
        <v>2069</v>
      </c>
      <c r="P25" s="6">
        <f>'2025'!D25</f>
        <v>1986</v>
      </c>
      <c r="Q25" s="7">
        <f>'2025'!M25</f>
        <v>113</v>
      </c>
      <c r="R25" s="8">
        <f>'2025'!N25</f>
        <v>5.69</v>
      </c>
      <c r="S25" s="9">
        <f>'2025'!O25</f>
        <v>50</v>
      </c>
      <c r="T25" s="10">
        <f>'2025'!P25</f>
        <v>2.52</v>
      </c>
    </row>
    <row r="26" spans="1:20" ht="15" customHeight="1" x14ac:dyDescent="0.35">
      <c r="A26" s="11">
        <v>20</v>
      </c>
      <c r="B26" s="12" t="s">
        <v>34</v>
      </c>
      <c r="C26" s="13">
        <f>'2023'!C26</f>
        <v>3621</v>
      </c>
      <c r="D26" s="13">
        <f>'2023'!D26</f>
        <v>3145</v>
      </c>
      <c r="E26" s="7">
        <f>'2023'!M26</f>
        <v>140</v>
      </c>
      <c r="F26" s="8">
        <f>'2023'!N26</f>
        <v>4.45</v>
      </c>
      <c r="G26" s="9">
        <f>'2023'!O26</f>
        <v>111</v>
      </c>
      <c r="H26" s="10">
        <f>'2023'!P26</f>
        <v>3.53</v>
      </c>
      <c r="I26" s="13">
        <f>'2024'!C26</f>
        <v>3376</v>
      </c>
      <c r="J26" s="13">
        <f>'2024'!D26</f>
        <v>3235</v>
      </c>
      <c r="K26" s="7">
        <f>'2024'!M26</f>
        <v>180</v>
      </c>
      <c r="L26" s="8">
        <f>'2024'!N26</f>
        <v>5.56</v>
      </c>
      <c r="M26" s="9">
        <f>'2024'!O26</f>
        <v>137</v>
      </c>
      <c r="N26" s="10">
        <f>'2024'!P26</f>
        <v>4.2300000000000004</v>
      </c>
      <c r="O26" s="13">
        <f>'2025'!C26</f>
        <v>3008</v>
      </c>
      <c r="P26" s="13">
        <f>'2025'!D26</f>
        <v>3008</v>
      </c>
      <c r="Q26" s="7">
        <f>'2025'!M26</f>
        <v>156</v>
      </c>
      <c r="R26" s="8">
        <f>'2025'!N26</f>
        <v>5.19</v>
      </c>
      <c r="S26" s="9">
        <f>'2025'!O26</f>
        <v>130</v>
      </c>
      <c r="T26" s="10">
        <f>'2025'!P26</f>
        <v>4.32</v>
      </c>
    </row>
    <row r="27" spans="1:20" ht="15" customHeight="1" x14ac:dyDescent="0.35">
      <c r="A27" s="4">
        <v>21</v>
      </c>
      <c r="B27" s="5" t="s">
        <v>35</v>
      </c>
      <c r="C27" s="6">
        <f>'2023'!C27</f>
        <v>1642</v>
      </c>
      <c r="D27" s="6">
        <f>'2023'!D27</f>
        <v>1586</v>
      </c>
      <c r="E27" s="7">
        <f>'2023'!M27</f>
        <v>89</v>
      </c>
      <c r="F27" s="8">
        <f>'2023'!N27</f>
        <v>5.61</v>
      </c>
      <c r="G27" s="9">
        <f>'2023'!O27</f>
        <v>48</v>
      </c>
      <c r="H27" s="10">
        <f>'2023'!P27</f>
        <v>3.03</v>
      </c>
      <c r="I27" s="6">
        <f>'2024'!C27</f>
        <v>1608</v>
      </c>
      <c r="J27" s="6">
        <f>'2024'!D27</f>
        <v>1558</v>
      </c>
      <c r="K27" s="7">
        <f>'2024'!M27</f>
        <v>58</v>
      </c>
      <c r="L27" s="8">
        <f>'2024'!N27</f>
        <v>3.72</v>
      </c>
      <c r="M27" s="9">
        <f>'2024'!O27</f>
        <v>54</v>
      </c>
      <c r="N27" s="10">
        <f>'2024'!P27</f>
        <v>3.47</v>
      </c>
      <c r="O27" s="6">
        <f>'2025'!C27</f>
        <v>1134</v>
      </c>
      <c r="P27" s="6">
        <f>'2025'!D27</f>
        <v>1128</v>
      </c>
      <c r="Q27" s="7">
        <f>'2025'!M27</f>
        <v>41</v>
      </c>
      <c r="R27" s="8">
        <f>'2025'!N27</f>
        <v>3.63</v>
      </c>
      <c r="S27" s="9">
        <f>'2025'!O27</f>
        <v>38</v>
      </c>
      <c r="T27" s="10">
        <f>'2025'!P27</f>
        <v>3.37</v>
      </c>
    </row>
    <row r="28" spans="1:20" ht="15" customHeight="1" x14ac:dyDescent="0.35">
      <c r="A28" s="11">
        <v>22</v>
      </c>
      <c r="B28" s="12" t="s">
        <v>36</v>
      </c>
      <c r="C28" s="13">
        <f>'2023'!C28</f>
        <v>1608</v>
      </c>
      <c r="D28" s="13">
        <f>'2023'!D28</f>
        <v>1558</v>
      </c>
      <c r="E28" s="7">
        <f>'2023'!M28</f>
        <v>58</v>
      </c>
      <c r="F28" s="8">
        <f>'2023'!N28</f>
        <v>3.72</v>
      </c>
      <c r="G28" s="9">
        <f>'2023'!O28</f>
        <v>54</v>
      </c>
      <c r="H28" s="10">
        <f>'2023'!P28</f>
        <v>3.47</v>
      </c>
      <c r="I28" s="13">
        <f>'2024'!C28</f>
        <v>1258</v>
      </c>
      <c r="J28" s="13">
        <f>'2024'!D28</f>
        <v>1220</v>
      </c>
      <c r="K28" s="7">
        <f>'2024'!M28</f>
        <v>54</v>
      </c>
      <c r="L28" s="8">
        <f>'2024'!N28</f>
        <v>4.43</v>
      </c>
      <c r="M28" s="9">
        <f>'2024'!O28</f>
        <v>35</v>
      </c>
      <c r="N28" s="10">
        <f>'2024'!P28</f>
        <v>2.87</v>
      </c>
      <c r="O28" s="13">
        <f>'2025'!C28</f>
        <v>1134</v>
      </c>
      <c r="P28" s="13">
        <f>'2025'!D28</f>
        <v>1128</v>
      </c>
      <c r="Q28" s="7">
        <f>'2025'!M28</f>
        <v>41</v>
      </c>
      <c r="R28" s="8">
        <f>'2025'!N28</f>
        <v>3.63</v>
      </c>
      <c r="S28" s="9">
        <f>'2025'!O28</f>
        <v>38</v>
      </c>
      <c r="T28" s="10">
        <f>'2025'!P28</f>
        <v>3.37</v>
      </c>
    </row>
    <row r="29" spans="1:20" ht="15" customHeight="1" x14ac:dyDescent="0.35">
      <c r="A29" s="4">
        <v>23</v>
      </c>
      <c r="B29" s="5" t="s">
        <v>37</v>
      </c>
      <c r="C29" s="6">
        <f>'2023'!C29</f>
        <v>1972</v>
      </c>
      <c r="D29" s="6">
        <f>'2023'!D29</f>
        <v>1876</v>
      </c>
      <c r="E29" s="7">
        <f>'2023'!M29</f>
        <v>198</v>
      </c>
      <c r="F29" s="8">
        <f>'2023'!N29</f>
        <v>10.55</v>
      </c>
      <c r="G29" s="9">
        <f>'2023'!O29</f>
        <v>111</v>
      </c>
      <c r="H29" s="10">
        <f>'2023'!P29</f>
        <v>5.92</v>
      </c>
      <c r="I29" s="6">
        <f>'2024'!C29</f>
        <v>2046</v>
      </c>
      <c r="J29" s="6">
        <f>'2024'!D29</f>
        <v>2028</v>
      </c>
      <c r="K29" s="7">
        <f>'2024'!M29</f>
        <v>222</v>
      </c>
      <c r="L29" s="8">
        <f>'2024'!N29</f>
        <v>10.95</v>
      </c>
      <c r="M29" s="9">
        <f>'2024'!O29</f>
        <v>134</v>
      </c>
      <c r="N29" s="10">
        <f>'2024'!P29</f>
        <v>6.61</v>
      </c>
      <c r="O29" s="6">
        <f>'2025'!C29</f>
        <v>1854</v>
      </c>
      <c r="P29" s="6">
        <f>'2025'!D29</f>
        <v>1848</v>
      </c>
      <c r="Q29" s="7">
        <f>'2025'!M29</f>
        <v>193</v>
      </c>
      <c r="R29" s="8">
        <f>'2025'!N29</f>
        <v>10.44</v>
      </c>
      <c r="S29" s="9">
        <f>'2025'!O29</f>
        <v>109</v>
      </c>
      <c r="T29" s="10">
        <f>'2025'!P29</f>
        <v>5.9</v>
      </c>
    </row>
    <row r="30" spans="1:20" ht="15" customHeight="1" x14ac:dyDescent="0.35">
      <c r="A30" s="11">
        <v>24</v>
      </c>
      <c r="B30" s="12" t="s">
        <v>38</v>
      </c>
      <c r="C30" s="13">
        <f>'2023'!C30</f>
        <v>2083</v>
      </c>
      <c r="D30" s="13">
        <f>'2023'!D30</f>
        <v>2013</v>
      </c>
      <c r="E30" s="7">
        <f>'2023'!M30</f>
        <v>240</v>
      </c>
      <c r="F30" s="8">
        <f>'2023'!N30</f>
        <v>11.92</v>
      </c>
      <c r="G30" s="9">
        <f>'2023'!O30</f>
        <v>175</v>
      </c>
      <c r="H30" s="10">
        <f>'2023'!P30</f>
        <v>8.69</v>
      </c>
      <c r="I30" s="13">
        <f>'2024'!C30</f>
        <v>2046</v>
      </c>
      <c r="J30" s="13">
        <f>'2024'!D30</f>
        <v>2014</v>
      </c>
      <c r="K30" s="7">
        <f>'2024'!M30</f>
        <v>247</v>
      </c>
      <c r="L30" s="8">
        <f>'2024'!N30</f>
        <v>12.26</v>
      </c>
      <c r="M30" s="9">
        <f>'2024'!O30</f>
        <v>151</v>
      </c>
      <c r="N30" s="10">
        <f>'2024'!P30</f>
        <v>7.5</v>
      </c>
      <c r="O30" s="13">
        <f>'2025'!C30</f>
        <v>1935</v>
      </c>
      <c r="P30" s="13">
        <f>'2025'!D30</f>
        <v>1905</v>
      </c>
      <c r="Q30" s="7">
        <f>'2025'!M30</f>
        <v>204</v>
      </c>
      <c r="R30" s="8">
        <f>'2025'!N30</f>
        <v>10.71</v>
      </c>
      <c r="S30" s="9">
        <f>'2025'!O30</f>
        <v>124</v>
      </c>
      <c r="T30" s="10">
        <f>'2025'!P30</f>
        <v>6.51</v>
      </c>
    </row>
    <row r="31" spans="1:20" ht="15" customHeight="1" x14ac:dyDescent="0.35">
      <c r="A31" s="4">
        <v>25</v>
      </c>
      <c r="B31" s="5" t="s">
        <v>39</v>
      </c>
      <c r="C31" s="6">
        <f>'2023'!C31</f>
        <v>1888</v>
      </c>
      <c r="D31" s="6">
        <f>'2023'!D31</f>
        <v>1754</v>
      </c>
      <c r="E31" s="7">
        <f>'2023'!M31</f>
        <v>97</v>
      </c>
      <c r="F31" s="8">
        <f>'2023'!N31</f>
        <v>5.53</v>
      </c>
      <c r="G31" s="9">
        <f>'2023'!O31</f>
        <v>93</v>
      </c>
      <c r="H31" s="10">
        <f>'2023'!P31</f>
        <v>5.3</v>
      </c>
      <c r="I31" s="6">
        <f>'2024'!C31</f>
        <v>1776</v>
      </c>
      <c r="J31" s="6">
        <f>'2024'!D31</f>
        <v>1728</v>
      </c>
      <c r="K31" s="7">
        <f>'2024'!M31</f>
        <v>84</v>
      </c>
      <c r="L31" s="8">
        <f>'2024'!N31</f>
        <v>4.8600000000000003</v>
      </c>
      <c r="M31" s="9">
        <f>'2024'!O31</f>
        <v>67</v>
      </c>
      <c r="N31" s="10">
        <f>'2024'!P31</f>
        <v>3.88</v>
      </c>
      <c r="O31" s="6">
        <f>'2025'!C31</f>
        <v>1690</v>
      </c>
      <c r="P31" s="6">
        <f>'2025'!D31</f>
        <v>1690</v>
      </c>
      <c r="Q31" s="7">
        <f>'2025'!M31</f>
        <v>65</v>
      </c>
      <c r="R31" s="8">
        <f>'2025'!N31</f>
        <v>3.85</v>
      </c>
      <c r="S31" s="9">
        <f>'2025'!O31</f>
        <v>61</v>
      </c>
      <c r="T31" s="10">
        <f>'2025'!P31</f>
        <v>3.61</v>
      </c>
    </row>
    <row r="32" spans="1:20" ht="21.75" customHeight="1" x14ac:dyDescent="0.35">
      <c r="A32" s="40" t="s">
        <v>40</v>
      </c>
      <c r="B32" s="39"/>
      <c r="C32" s="14">
        <f>'2023'!C32</f>
        <v>55808</v>
      </c>
      <c r="D32" s="14">
        <f>'2023'!D32</f>
        <v>50666</v>
      </c>
      <c r="E32" s="14">
        <f>'2023'!M32</f>
        <v>3143</v>
      </c>
      <c r="F32" s="15">
        <f>'2023'!N32</f>
        <v>6.2033710969881177</v>
      </c>
      <c r="G32" s="14">
        <f>'2023'!O32</f>
        <v>2237</v>
      </c>
      <c r="H32" s="15">
        <f>'2023'!P32</f>
        <v>4.4151896735483369</v>
      </c>
      <c r="I32" s="16">
        <f>'2024'!C32</f>
        <v>53408</v>
      </c>
      <c r="J32" s="16">
        <f>'2024'!D32</f>
        <v>51098</v>
      </c>
      <c r="K32" s="16">
        <f>'2024'!M32</f>
        <v>3180</v>
      </c>
      <c r="L32" s="17">
        <f>'2024'!N32</f>
        <v>6.2233355512935926</v>
      </c>
      <c r="M32" s="16">
        <f>'2024'!O32</f>
        <v>2191</v>
      </c>
      <c r="N32" s="17">
        <f>'2024'!P32</f>
        <v>4.2878390543661205</v>
      </c>
      <c r="O32" s="18">
        <f>'2025'!C32</f>
        <v>49264</v>
      </c>
      <c r="P32" s="18">
        <f>'2025'!D32</f>
        <v>47324</v>
      </c>
      <c r="Q32" s="18">
        <f>'2025'!M32</f>
        <v>3028</v>
      </c>
      <c r="R32" s="19">
        <f>'2025'!N32</f>
        <v>6.3984447637562338</v>
      </c>
      <c r="S32" s="18">
        <f>'2025'!O32</f>
        <v>2020</v>
      </c>
      <c r="T32" s="19">
        <f>'2025'!P32</f>
        <v>4.2684472994675007</v>
      </c>
    </row>
    <row r="34" spans="1:20" ht="15" customHeight="1" x14ac:dyDescent="0.35">
      <c r="A34" s="37" t="s">
        <v>41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ht="15" customHeight="1" x14ac:dyDescent="0.35">
      <c r="A35" s="34" t="s">
        <v>42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  <row r="36" spans="1:20" ht="15" customHeight="1" x14ac:dyDescent="0.35">
      <c r="A36" s="34" t="s">
        <v>43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</row>
    <row r="37" spans="1:20" ht="15" customHeight="1" x14ac:dyDescent="0.35">
      <c r="A37" s="34" t="s">
        <v>44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</row>
  </sheetData>
  <mergeCells count="12">
    <mergeCell ref="A1:T1"/>
    <mergeCell ref="A37:T37"/>
    <mergeCell ref="A4:A6"/>
    <mergeCell ref="A34:T34"/>
    <mergeCell ref="B4:B6"/>
    <mergeCell ref="A35:T35"/>
    <mergeCell ref="O4:T4"/>
    <mergeCell ref="A32:B32"/>
    <mergeCell ref="C4:H4"/>
    <mergeCell ref="A2:T2"/>
    <mergeCell ref="I4:N4"/>
    <mergeCell ref="A36:T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showGridLines="0" zoomScaleNormal="100" workbookViewId="0">
      <pane xSplit="2" ySplit="6" topLeftCell="C24" activePane="bottomRight" state="frozen"/>
      <selection pane="topRight" activeCell="C1" sqref="C1"/>
      <selection pane="bottomLeft" activeCell="A7" sqref="A7"/>
      <selection pane="bottomRight" sqref="A1:R1"/>
    </sheetView>
  </sheetViews>
  <sheetFormatPr defaultColWidth="8.6328125" defaultRowHeight="14.5" x14ac:dyDescent="0.35"/>
  <cols>
    <col min="1" max="1" width="5" customWidth="1"/>
    <col min="2" max="2" width="16" customWidth="1"/>
    <col min="3" max="4" width="10" customWidth="1"/>
    <col min="5" max="16" width="7" customWidth="1"/>
    <col min="17" max="17" width="10" customWidth="1"/>
    <col min="18" max="18" width="14" customWidth="1"/>
  </cols>
  <sheetData>
    <row r="1" spans="1:18" ht="54.75" customHeight="1" x14ac:dyDescent="0.35">
      <c r="A1" s="32" t="s">
        <v>45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5" customHeight="1" x14ac:dyDescent="0.35">
      <c r="A2" s="4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4.5" customHeight="1" x14ac:dyDescent="0.35"/>
    <row r="4" spans="1:18" ht="30" customHeight="1" x14ac:dyDescent="0.35">
      <c r="A4" s="35" t="s">
        <v>2</v>
      </c>
      <c r="B4" s="35" t="s">
        <v>3</v>
      </c>
      <c r="C4" s="35" t="s">
        <v>46</v>
      </c>
      <c r="D4" s="35" t="s">
        <v>47</v>
      </c>
      <c r="E4" s="44" t="s">
        <v>48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51" t="s">
        <v>49</v>
      </c>
      <c r="R4" s="48" t="s">
        <v>50</v>
      </c>
    </row>
    <row r="5" spans="1:18" ht="27.75" customHeight="1" x14ac:dyDescent="0.35">
      <c r="A5" s="36"/>
      <c r="B5" s="36"/>
      <c r="C5" s="36"/>
      <c r="D5" s="36"/>
      <c r="E5" s="45" t="s">
        <v>51</v>
      </c>
      <c r="F5" s="39"/>
      <c r="G5" s="49" t="s">
        <v>52</v>
      </c>
      <c r="H5" s="39"/>
      <c r="I5" s="50" t="s">
        <v>53</v>
      </c>
      <c r="J5" s="39"/>
      <c r="K5" s="44" t="s">
        <v>54</v>
      </c>
      <c r="L5" s="39"/>
      <c r="M5" s="46" t="s">
        <v>55</v>
      </c>
      <c r="N5" s="39"/>
      <c r="O5" s="47" t="s">
        <v>56</v>
      </c>
      <c r="P5" s="39"/>
      <c r="Q5" s="36"/>
      <c r="R5" s="36"/>
    </row>
    <row r="6" spans="1:18" ht="15.75" customHeight="1" x14ac:dyDescent="0.35">
      <c r="A6" s="36"/>
      <c r="B6" s="36"/>
      <c r="C6" s="36"/>
      <c r="D6" s="36"/>
      <c r="E6" s="20" t="s">
        <v>13</v>
      </c>
      <c r="F6" s="20" t="s">
        <v>14</v>
      </c>
      <c r="G6" s="3" t="s">
        <v>13</v>
      </c>
      <c r="H6" s="3" t="s">
        <v>14</v>
      </c>
      <c r="I6" s="21" t="s">
        <v>13</v>
      </c>
      <c r="J6" s="21" t="s">
        <v>14</v>
      </c>
      <c r="K6" s="1" t="s">
        <v>13</v>
      </c>
      <c r="L6" s="1" t="s">
        <v>14</v>
      </c>
      <c r="M6" s="22" t="s">
        <v>13</v>
      </c>
      <c r="N6" s="22" t="s">
        <v>14</v>
      </c>
      <c r="O6" s="23" t="s">
        <v>13</v>
      </c>
      <c r="P6" s="23" t="s">
        <v>14</v>
      </c>
      <c r="Q6" s="36"/>
      <c r="R6" s="36"/>
    </row>
    <row r="7" spans="1:18" ht="15" customHeight="1" x14ac:dyDescent="0.35">
      <c r="A7" s="4">
        <v>1</v>
      </c>
      <c r="B7" s="5" t="s">
        <v>15</v>
      </c>
      <c r="C7" s="24">
        <v>1526</v>
      </c>
      <c r="D7" s="24">
        <v>1514</v>
      </c>
      <c r="E7" s="4">
        <v>26</v>
      </c>
      <c r="F7" s="25">
        <v>1.72</v>
      </c>
      <c r="G7" s="4">
        <v>77</v>
      </c>
      <c r="H7" s="25">
        <v>5.09</v>
      </c>
      <c r="I7" s="4">
        <v>1410</v>
      </c>
      <c r="J7" s="25">
        <v>93.13</v>
      </c>
      <c r="K7" s="4">
        <v>1</v>
      </c>
      <c r="L7" s="25">
        <v>7.0000000000000007E-2</v>
      </c>
      <c r="M7" s="4">
        <v>103</v>
      </c>
      <c r="N7" s="25">
        <v>6.8</v>
      </c>
      <c r="O7" s="4">
        <v>77</v>
      </c>
      <c r="P7" s="25">
        <v>5.09</v>
      </c>
      <c r="Q7" s="26">
        <f>IFERROR(D7/C7*100,0)</f>
        <v>99.21363040629096</v>
      </c>
      <c r="R7" s="4"/>
    </row>
    <row r="8" spans="1:18" ht="15" customHeight="1" x14ac:dyDescent="0.35">
      <c r="A8" s="11">
        <v>2</v>
      </c>
      <c r="B8" s="12" t="s">
        <v>16</v>
      </c>
      <c r="C8" s="27">
        <v>1578</v>
      </c>
      <c r="D8" s="27">
        <v>1466</v>
      </c>
      <c r="E8" s="11">
        <v>33</v>
      </c>
      <c r="F8" s="28">
        <v>2.25</v>
      </c>
      <c r="G8" s="11">
        <v>166</v>
      </c>
      <c r="H8" s="28">
        <v>11.32</v>
      </c>
      <c r="I8" s="11">
        <v>1266</v>
      </c>
      <c r="J8" s="28">
        <v>86.36</v>
      </c>
      <c r="K8" s="11">
        <v>1</v>
      </c>
      <c r="L8" s="28">
        <v>7.0000000000000007E-2</v>
      </c>
      <c r="M8" s="11">
        <v>199</v>
      </c>
      <c r="N8" s="28">
        <v>13.57</v>
      </c>
      <c r="O8" s="11">
        <v>89</v>
      </c>
      <c r="P8" s="28">
        <v>6.07</v>
      </c>
      <c r="Q8" s="26">
        <f>IFERROR(D8/C8*100,0)</f>
        <v>92.902408111533589</v>
      </c>
      <c r="R8" s="11"/>
    </row>
    <row r="9" spans="1:18" ht="15" customHeight="1" x14ac:dyDescent="0.35">
      <c r="A9" s="4">
        <v>3</v>
      </c>
      <c r="B9" s="5" t="s">
        <v>17</v>
      </c>
      <c r="C9" s="24">
        <v>2515</v>
      </c>
      <c r="D9" s="24">
        <v>2165</v>
      </c>
      <c r="E9" s="4">
        <v>53</v>
      </c>
      <c r="F9" s="25">
        <v>2.4500000000000002</v>
      </c>
      <c r="G9" s="4">
        <v>112</v>
      </c>
      <c r="H9" s="25">
        <v>5.17</v>
      </c>
      <c r="I9" s="4">
        <v>2000</v>
      </c>
      <c r="J9" s="25">
        <v>92.38</v>
      </c>
      <c r="K9" s="4">
        <v>0</v>
      </c>
      <c r="L9" s="25">
        <v>0</v>
      </c>
      <c r="M9" s="4">
        <v>165</v>
      </c>
      <c r="N9" s="25">
        <v>7.62</v>
      </c>
      <c r="O9" s="4">
        <v>156</v>
      </c>
      <c r="P9" s="25">
        <v>7.21</v>
      </c>
      <c r="Q9" s="26">
        <f>IFERROR(D9/C9*100,0)</f>
        <v>86.083499005964214</v>
      </c>
      <c r="R9" s="4"/>
    </row>
    <row r="10" spans="1:18" ht="15" customHeight="1" x14ac:dyDescent="0.35">
      <c r="A10" s="11">
        <v>4</v>
      </c>
      <c r="B10" s="12" t="s">
        <v>18</v>
      </c>
      <c r="C10" s="27">
        <v>1909</v>
      </c>
      <c r="D10" s="27">
        <v>1388</v>
      </c>
      <c r="E10" s="11">
        <v>6</v>
      </c>
      <c r="F10" s="28">
        <v>0.43</v>
      </c>
      <c r="G10" s="11">
        <v>54</v>
      </c>
      <c r="H10" s="28">
        <v>3.89</v>
      </c>
      <c r="I10" s="11">
        <v>1313</v>
      </c>
      <c r="J10" s="28">
        <v>94.6</v>
      </c>
      <c r="K10" s="11">
        <v>15</v>
      </c>
      <c r="L10" s="28">
        <v>1.08</v>
      </c>
      <c r="M10" s="11">
        <v>60</v>
      </c>
      <c r="N10" s="28">
        <v>4.32</v>
      </c>
      <c r="O10" s="11">
        <v>60</v>
      </c>
      <c r="P10" s="28">
        <v>4.32</v>
      </c>
      <c r="Q10" s="26">
        <f>IFERROR(D10/C10*100,0)</f>
        <v>72.708224201152433</v>
      </c>
      <c r="R10" s="11"/>
    </row>
    <row r="11" spans="1:18" ht="15" customHeight="1" x14ac:dyDescent="0.35">
      <c r="A11" s="4">
        <v>5</v>
      </c>
      <c r="B11" s="5" t="s">
        <v>19</v>
      </c>
      <c r="C11" s="24">
        <v>1793</v>
      </c>
      <c r="D11" s="24">
        <v>1745</v>
      </c>
      <c r="E11" s="4">
        <v>16</v>
      </c>
      <c r="F11" s="25">
        <v>0.92</v>
      </c>
      <c r="G11" s="4">
        <v>60</v>
      </c>
      <c r="H11" s="25">
        <v>3.44</v>
      </c>
      <c r="I11" s="4">
        <v>1665</v>
      </c>
      <c r="J11" s="25">
        <v>95.41</v>
      </c>
      <c r="K11" s="4">
        <v>4</v>
      </c>
      <c r="L11" s="25">
        <v>0.23</v>
      </c>
      <c r="M11" s="4">
        <v>76</v>
      </c>
      <c r="N11" s="25">
        <v>4.3600000000000003</v>
      </c>
      <c r="O11" s="4">
        <v>50</v>
      </c>
      <c r="P11" s="25">
        <v>2.87</v>
      </c>
      <c r="Q11" s="26">
        <v>97.32</v>
      </c>
      <c r="R11" s="4"/>
    </row>
    <row r="12" spans="1:18" ht="15" customHeight="1" x14ac:dyDescent="0.35">
      <c r="A12" s="11">
        <v>6</v>
      </c>
      <c r="B12" s="12" t="s">
        <v>20</v>
      </c>
      <c r="C12" s="27">
        <v>2106</v>
      </c>
      <c r="D12" s="27">
        <v>1957</v>
      </c>
      <c r="E12" s="11">
        <v>6</v>
      </c>
      <c r="F12" s="28">
        <v>0.31</v>
      </c>
      <c r="G12" s="11">
        <v>96</v>
      </c>
      <c r="H12" s="28">
        <v>4.91</v>
      </c>
      <c r="I12" s="11">
        <v>1853</v>
      </c>
      <c r="J12" s="28">
        <v>94.69</v>
      </c>
      <c r="K12" s="11">
        <v>2</v>
      </c>
      <c r="L12" s="28">
        <v>0.1</v>
      </c>
      <c r="M12" s="11">
        <v>102</v>
      </c>
      <c r="N12" s="28">
        <v>5.21</v>
      </c>
      <c r="O12" s="11">
        <v>102</v>
      </c>
      <c r="P12" s="28">
        <v>5.21</v>
      </c>
      <c r="Q12" s="26">
        <f>IFERROR(D12/C12*100,0)</f>
        <v>92.924976258309584</v>
      </c>
      <c r="R12" s="11"/>
    </row>
    <row r="13" spans="1:18" ht="15" customHeight="1" x14ac:dyDescent="0.35">
      <c r="A13" s="4">
        <v>7</v>
      </c>
      <c r="B13" s="5" t="s">
        <v>21</v>
      </c>
      <c r="C13" s="24">
        <v>2288</v>
      </c>
      <c r="D13" s="24">
        <v>2216</v>
      </c>
      <c r="E13" s="4">
        <v>15</v>
      </c>
      <c r="F13" s="25">
        <v>0.68</v>
      </c>
      <c r="G13" s="4">
        <v>109</v>
      </c>
      <c r="H13" s="25">
        <v>4.92</v>
      </c>
      <c r="I13" s="4">
        <v>2091</v>
      </c>
      <c r="J13" s="25">
        <v>94.36</v>
      </c>
      <c r="K13" s="4">
        <v>1</v>
      </c>
      <c r="L13" s="25">
        <v>0.05</v>
      </c>
      <c r="M13" s="4">
        <v>124</v>
      </c>
      <c r="N13" s="25">
        <v>5.6</v>
      </c>
      <c r="O13" s="4">
        <v>73</v>
      </c>
      <c r="P13" s="25">
        <v>3.29</v>
      </c>
      <c r="Q13" s="26">
        <v>96.86</v>
      </c>
      <c r="R13" s="4"/>
    </row>
    <row r="14" spans="1:18" ht="15" customHeight="1" x14ac:dyDescent="0.35">
      <c r="A14" s="11">
        <v>8</v>
      </c>
      <c r="B14" s="12" t="s">
        <v>22</v>
      </c>
      <c r="C14" s="27">
        <v>2838</v>
      </c>
      <c r="D14" s="27">
        <v>2561</v>
      </c>
      <c r="E14" s="11">
        <v>28</v>
      </c>
      <c r="F14" s="28">
        <v>1.0900000000000001</v>
      </c>
      <c r="G14" s="11">
        <v>131</v>
      </c>
      <c r="H14" s="28">
        <v>5.12</v>
      </c>
      <c r="I14" s="11">
        <v>2401</v>
      </c>
      <c r="J14" s="28">
        <v>93.75</v>
      </c>
      <c r="K14" s="11">
        <v>1</v>
      </c>
      <c r="L14" s="28">
        <v>0.04</v>
      </c>
      <c r="M14" s="11">
        <v>159</v>
      </c>
      <c r="N14" s="28">
        <v>6.21</v>
      </c>
      <c r="O14" s="11">
        <v>103</v>
      </c>
      <c r="P14" s="28">
        <v>4.0199999999999996</v>
      </c>
      <c r="Q14" s="26">
        <f>IFERROR(D14/C14*100,0)</f>
        <v>90.239605355884422</v>
      </c>
      <c r="R14" s="11"/>
    </row>
    <row r="15" spans="1:18" ht="15" customHeight="1" x14ac:dyDescent="0.35">
      <c r="A15" s="4">
        <v>9</v>
      </c>
      <c r="B15" s="5" t="s">
        <v>23</v>
      </c>
      <c r="C15" s="24">
        <v>2755</v>
      </c>
      <c r="D15" s="24">
        <v>2710</v>
      </c>
      <c r="E15" s="4">
        <v>22</v>
      </c>
      <c r="F15" s="25">
        <v>0.81</v>
      </c>
      <c r="G15" s="4">
        <v>115</v>
      </c>
      <c r="H15" s="25">
        <v>4.24</v>
      </c>
      <c r="I15" s="4">
        <v>2573</v>
      </c>
      <c r="J15" s="25">
        <v>94.94</v>
      </c>
      <c r="K15" s="4">
        <v>0</v>
      </c>
      <c r="L15" s="25">
        <v>0</v>
      </c>
      <c r="M15" s="4">
        <v>137</v>
      </c>
      <c r="N15" s="25">
        <v>5.0599999999999996</v>
      </c>
      <c r="O15" s="4">
        <v>84</v>
      </c>
      <c r="P15" s="25">
        <v>3.1</v>
      </c>
      <c r="Q15" s="26">
        <v>98.37</v>
      </c>
      <c r="R15" s="4"/>
    </row>
    <row r="16" spans="1:18" ht="15" customHeight="1" x14ac:dyDescent="0.35">
      <c r="A16" s="11">
        <v>10</v>
      </c>
      <c r="B16" s="12" t="s">
        <v>24</v>
      </c>
      <c r="C16" s="27">
        <v>1576</v>
      </c>
      <c r="D16" s="27">
        <v>1219</v>
      </c>
      <c r="E16" s="11">
        <v>14</v>
      </c>
      <c r="F16" s="28">
        <v>1.1499999999999999</v>
      </c>
      <c r="G16" s="11">
        <v>45</v>
      </c>
      <c r="H16" s="28">
        <v>3.69</v>
      </c>
      <c r="I16" s="11">
        <v>1159</v>
      </c>
      <c r="J16" s="28">
        <v>95.08</v>
      </c>
      <c r="K16" s="11">
        <v>1</v>
      </c>
      <c r="L16" s="28">
        <v>0.08</v>
      </c>
      <c r="M16" s="11">
        <v>59</v>
      </c>
      <c r="N16" s="28">
        <v>4.84</v>
      </c>
      <c r="O16" s="11">
        <v>46</v>
      </c>
      <c r="P16" s="28">
        <v>3.77</v>
      </c>
      <c r="Q16" s="26">
        <f>IFERROR(D16/C16*100,0)</f>
        <v>77.347715736040612</v>
      </c>
      <c r="R16" s="11"/>
    </row>
    <row r="17" spans="1:18" ht="15" customHeight="1" x14ac:dyDescent="0.35">
      <c r="A17" s="4">
        <v>11</v>
      </c>
      <c r="B17" s="5" t="s">
        <v>25</v>
      </c>
      <c r="C17" s="24">
        <v>1723</v>
      </c>
      <c r="D17" s="24">
        <v>1435</v>
      </c>
      <c r="E17" s="4">
        <v>21</v>
      </c>
      <c r="F17" s="25">
        <v>1.46</v>
      </c>
      <c r="G17" s="4">
        <v>44</v>
      </c>
      <c r="H17" s="25">
        <v>3.07</v>
      </c>
      <c r="I17" s="4">
        <v>1369</v>
      </c>
      <c r="J17" s="25">
        <v>95.4</v>
      </c>
      <c r="K17" s="4">
        <v>1</v>
      </c>
      <c r="L17" s="25">
        <v>7.0000000000000007E-2</v>
      </c>
      <c r="M17" s="4">
        <v>65</v>
      </c>
      <c r="N17" s="25">
        <v>4.53</v>
      </c>
      <c r="O17" s="4">
        <v>59</v>
      </c>
      <c r="P17" s="25">
        <v>4.1100000000000003</v>
      </c>
      <c r="Q17" s="26">
        <v>83.28</v>
      </c>
      <c r="R17" s="4"/>
    </row>
    <row r="18" spans="1:18" ht="15" customHeight="1" x14ac:dyDescent="0.35">
      <c r="A18" s="11">
        <v>12</v>
      </c>
      <c r="B18" s="12" t="s">
        <v>26</v>
      </c>
      <c r="C18" s="27">
        <v>1380</v>
      </c>
      <c r="D18" s="27">
        <v>1364</v>
      </c>
      <c r="E18" s="11">
        <v>37</v>
      </c>
      <c r="F18" s="28">
        <v>2.71</v>
      </c>
      <c r="G18" s="11">
        <v>66</v>
      </c>
      <c r="H18" s="28">
        <v>4.84</v>
      </c>
      <c r="I18" s="11">
        <v>1262</v>
      </c>
      <c r="J18" s="28">
        <v>92.52</v>
      </c>
      <c r="K18" s="11">
        <v>1</v>
      </c>
      <c r="L18" s="28">
        <v>7.0000000000000007E-2</v>
      </c>
      <c r="M18" s="11">
        <v>103</v>
      </c>
      <c r="N18" s="28">
        <v>7.55</v>
      </c>
      <c r="O18" s="11">
        <v>72</v>
      </c>
      <c r="P18" s="28">
        <v>5.28</v>
      </c>
      <c r="Q18" s="26">
        <v>98.84</v>
      </c>
      <c r="R18" s="11"/>
    </row>
    <row r="19" spans="1:18" ht="15" customHeight="1" x14ac:dyDescent="0.35">
      <c r="A19" s="4">
        <v>13</v>
      </c>
      <c r="B19" s="5" t="s">
        <v>27</v>
      </c>
      <c r="C19" s="24">
        <v>3180</v>
      </c>
      <c r="D19" s="24">
        <v>3042</v>
      </c>
      <c r="E19" s="4">
        <v>30</v>
      </c>
      <c r="F19" s="25">
        <v>0.99</v>
      </c>
      <c r="G19" s="4">
        <v>118</v>
      </c>
      <c r="H19" s="25">
        <v>3.88</v>
      </c>
      <c r="I19" s="4">
        <v>2877</v>
      </c>
      <c r="J19" s="25">
        <v>94.58</v>
      </c>
      <c r="K19" s="4">
        <v>17</v>
      </c>
      <c r="L19" s="25">
        <v>0.56000000000000005</v>
      </c>
      <c r="M19" s="4">
        <v>148</v>
      </c>
      <c r="N19" s="25">
        <v>4.87</v>
      </c>
      <c r="O19" s="4">
        <v>72</v>
      </c>
      <c r="P19" s="25">
        <v>2.37</v>
      </c>
      <c r="Q19" s="26">
        <f>IFERROR(D19/C19*100,0)</f>
        <v>95.660377358490564</v>
      </c>
      <c r="R19" s="4"/>
    </row>
    <row r="20" spans="1:18" ht="15" customHeight="1" x14ac:dyDescent="0.35">
      <c r="A20" s="11">
        <v>14</v>
      </c>
      <c r="B20" s="12" t="s">
        <v>28</v>
      </c>
      <c r="C20" s="27">
        <v>3173</v>
      </c>
      <c r="D20" s="27">
        <v>3079</v>
      </c>
      <c r="E20" s="11">
        <v>35</v>
      </c>
      <c r="F20" s="28">
        <v>1.1399999999999999</v>
      </c>
      <c r="G20" s="11">
        <v>150</v>
      </c>
      <c r="H20" s="28">
        <v>4.87</v>
      </c>
      <c r="I20" s="11">
        <v>2888</v>
      </c>
      <c r="J20" s="28">
        <v>93.8</v>
      </c>
      <c r="K20" s="11">
        <v>6</v>
      </c>
      <c r="L20" s="28">
        <v>0.19</v>
      </c>
      <c r="M20" s="11">
        <v>185</v>
      </c>
      <c r="N20" s="28">
        <v>6.01</v>
      </c>
      <c r="O20" s="11">
        <v>169</v>
      </c>
      <c r="P20" s="28">
        <v>5.49</v>
      </c>
      <c r="Q20" s="26">
        <f>IFERROR(D20/C20*100,0)</f>
        <v>97.03750393948944</v>
      </c>
      <c r="R20" s="11"/>
    </row>
    <row r="21" spans="1:18" ht="15" customHeight="1" x14ac:dyDescent="0.35">
      <c r="A21" s="4">
        <v>15</v>
      </c>
      <c r="B21" s="5" t="s">
        <v>29</v>
      </c>
      <c r="C21" s="24">
        <v>4324</v>
      </c>
      <c r="D21" s="24">
        <v>3220</v>
      </c>
      <c r="E21" s="4">
        <v>59</v>
      </c>
      <c r="F21" s="25">
        <v>1.83</v>
      </c>
      <c r="G21" s="4">
        <v>164</v>
      </c>
      <c r="H21" s="25">
        <v>5.09</v>
      </c>
      <c r="I21" s="4">
        <v>2982</v>
      </c>
      <c r="J21" s="25">
        <v>92.61</v>
      </c>
      <c r="K21" s="4">
        <v>15</v>
      </c>
      <c r="L21" s="25">
        <v>0.47</v>
      </c>
      <c r="M21" s="4">
        <v>223</v>
      </c>
      <c r="N21" s="25">
        <v>6.93</v>
      </c>
      <c r="O21" s="4">
        <v>167</v>
      </c>
      <c r="P21" s="25">
        <v>5.19</v>
      </c>
      <c r="Q21" s="26">
        <f>IFERROR(D21/C21*100,0)</f>
        <v>74.468085106382972</v>
      </c>
      <c r="R21" s="4"/>
    </row>
    <row r="22" spans="1:18" ht="15" customHeight="1" x14ac:dyDescent="0.35">
      <c r="A22" s="11">
        <v>16</v>
      </c>
      <c r="B22" s="12" t="s">
        <v>30</v>
      </c>
      <c r="C22" s="27">
        <v>1307</v>
      </c>
      <c r="D22" s="27">
        <v>1188</v>
      </c>
      <c r="E22" s="11">
        <v>13</v>
      </c>
      <c r="F22" s="28">
        <v>1.0900000000000001</v>
      </c>
      <c r="G22" s="11">
        <v>83</v>
      </c>
      <c r="H22" s="28">
        <v>6.99</v>
      </c>
      <c r="I22" s="11">
        <v>1090</v>
      </c>
      <c r="J22" s="28">
        <v>91.75</v>
      </c>
      <c r="K22" s="11">
        <v>2</v>
      </c>
      <c r="L22" s="28">
        <v>0.17</v>
      </c>
      <c r="M22" s="11">
        <v>96</v>
      </c>
      <c r="N22" s="28">
        <v>8.08</v>
      </c>
      <c r="O22" s="11">
        <v>55</v>
      </c>
      <c r="P22" s="28">
        <v>4.63</v>
      </c>
      <c r="Q22" s="26">
        <f>IFERROR(D22/C22*100,0)</f>
        <v>90.895179801071151</v>
      </c>
      <c r="R22" s="11"/>
    </row>
    <row r="23" spans="1:18" ht="15" customHeight="1" x14ac:dyDescent="0.35">
      <c r="A23" s="4">
        <v>17</v>
      </c>
      <c r="B23" s="5" t="s">
        <v>31</v>
      </c>
      <c r="C23" s="24">
        <v>2346</v>
      </c>
      <c r="D23" s="24">
        <v>2279</v>
      </c>
      <c r="E23" s="4">
        <v>37</v>
      </c>
      <c r="F23" s="25">
        <v>1.62</v>
      </c>
      <c r="G23" s="4">
        <v>111</v>
      </c>
      <c r="H23" s="25">
        <v>4.87</v>
      </c>
      <c r="I23" s="4">
        <v>2124</v>
      </c>
      <c r="J23" s="25">
        <v>93.2</v>
      </c>
      <c r="K23" s="4">
        <v>7</v>
      </c>
      <c r="L23" s="25">
        <v>0.31</v>
      </c>
      <c r="M23" s="4">
        <v>148</v>
      </c>
      <c r="N23" s="25">
        <v>6.49</v>
      </c>
      <c r="O23" s="4">
        <v>95</v>
      </c>
      <c r="P23" s="25">
        <v>4.17</v>
      </c>
      <c r="Q23" s="26">
        <v>97.14</v>
      </c>
      <c r="R23" s="4"/>
    </row>
    <row r="24" spans="1:18" ht="15" customHeight="1" x14ac:dyDescent="0.35">
      <c r="A24" s="11">
        <v>18</v>
      </c>
      <c r="B24" s="12" t="s">
        <v>32</v>
      </c>
      <c r="C24" s="27">
        <v>2420</v>
      </c>
      <c r="D24" s="27">
        <v>2071</v>
      </c>
      <c r="E24" s="11">
        <v>20</v>
      </c>
      <c r="F24" s="28">
        <v>0.97</v>
      </c>
      <c r="G24" s="11">
        <v>92</v>
      </c>
      <c r="H24" s="28">
        <v>4.4400000000000004</v>
      </c>
      <c r="I24" s="11">
        <v>1955</v>
      </c>
      <c r="J24" s="28">
        <v>94.4</v>
      </c>
      <c r="K24" s="11">
        <v>4</v>
      </c>
      <c r="L24" s="28">
        <v>0.19</v>
      </c>
      <c r="M24" s="11">
        <v>112</v>
      </c>
      <c r="N24" s="28">
        <v>5.41</v>
      </c>
      <c r="O24" s="11">
        <v>54</v>
      </c>
      <c r="P24" s="28">
        <v>2.61</v>
      </c>
      <c r="Q24" s="26">
        <f>IFERROR(D24/C24*100,0)</f>
        <v>85.578512396694222</v>
      </c>
      <c r="R24" s="11"/>
    </row>
    <row r="25" spans="1:18" ht="15" customHeight="1" x14ac:dyDescent="0.35">
      <c r="A25" s="4">
        <v>19</v>
      </c>
      <c r="B25" s="5" t="s">
        <v>33</v>
      </c>
      <c r="C25" s="24">
        <v>2257</v>
      </c>
      <c r="D25" s="24">
        <v>2115</v>
      </c>
      <c r="E25" s="4">
        <v>22</v>
      </c>
      <c r="F25" s="25">
        <v>1.04</v>
      </c>
      <c r="G25" s="4">
        <v>35</v>
      </c>
      <c r="H25" s="25">
        <v>1.65</v>
      </c>
      <c r="I25" s="4">
        <v>2052</v>
      </c>
      <c r="J25" s="25">
        <v>97.02</v>
      </c>
      <c r="K25" s="4">
        <v>6</v>
      </c>
      <c r="L25" s="25">
        <v>0.28000000000000003</v>
      </c>
      <c r="M25" s="4">
        <v>57</v>
      </c>
      <c r="N25" s="25">
        <v>2.7</v>
      </c>
      <c r="O25" s="4">
        <v>62</v>
      </c>
      <c r="P25" s="25">
        <v>2.93</v>
      </c>
      <c r="Q25" s="26">
        <v>93.71</v>
      </c>
      <c r="R25" s="4"/>
    </row>
    <row r="26" spans="1:18" ht="15" customHeight="1" x14ac:dyDescent="0.35">
      <c r="A26" s="11">
        <v>20</v>
      </c>
      <c r="B26" s="12" t="s">
        <v>34</v>
      </c>
      <c r="C26" s="27">
        <v>3621</v>
      </c>
      <c r="D26" s="27">
        <v>3145</v>
      </c>
      <c r="E26" s="11">
        <v>49</v>
      </c>
      <c r="F26" s="28">
        <v>1.56</v>
      </c>
      <c r="G26" s="11">
        <v>91</v>
      </c>
      <c r="H26" s="28">
        <v>2.89</v>
      </c>
      <c r="I26" s="11">
        <v>3005</v>
      </c>
      <c r="J26" s="28">
        <v>95.55</v>
      </c>
      <c r="K26" s="11">
        <v>0</v>
      </c>
      <c r="L26" s="28">
        <v>0</v>
      </c>
      <c r="M26" s="11">
        <v>140</v>
      </c>
      <c r="N26" s="28">
        <v>4.45</v>
      </c>
      <c r="O26" s="11">
        <v>111</v>
      </c>
      <c r="P26" s="28">
        <v>3.53</v>
      </c>
      <c r="Q26" s="26">
        <f>IFERROR(D26/C26*100,0)</f>
        <v>86.854460093896719</v>
      </c>
      <c r="R26" s="11"/>
    </row>
    <row r="27" spans="1:18" ht="15" customHeight="1" x14ac:dyDescent="0.35">
      <c r="A27" s="4">
        <v>21</v>
      </c>
      <c r="B27" s="5" t="s">
        <v>35</v>
      </c>
      <c r="C27" s="24">
        <v>1642</v>
      </c>
      <c r="D27" s="24">
        <v>1586</v>
      </c>
      <c r="E27" s="4">
        <v>26</v>
      </c>
      <c r="F27" s="25">
        <v>1.64</v>
      </c>
      <c r="G27" s="4">
        <v>63</v>
      </c>
      <c r="H27" s="25">
        <v>3.97</v>
      </c>
      <c r="I27" s="4">
        <v>1493</v>
      </c>
      <c r="J27" s="25">
        <v>94.14</v>
      </c>
      <c r="K27" s="4">
        <v>4</v>
      </c>
      <c r="L27" s="25">
        <v>0.25</v>
      </c>
      <c r="M27" s="4">
        <v>89</v>
      </c>
      <c r="N27" s="25">
        <v>5.61</v>
      </c>
      <c r="O27" s="4">
        <v>48</v>
      </c>
      <c r="P27" s="25">
        <v>3.03</v>
      </c>
      <c r="Q27" s="26">
        <f>IFERROR(D27/C27*100,0)</f>
        <v>96.589524969549331</v>
      </c>
      <c r="R27" s="4"/>
    </row>
    <row r="28" spans="1:18" ht="15" customHeight="1" x14ac:dyDescent="0.35">
      <c r="A28" s="11">
        <v>22</v>
      </c>
      <c r="B28" s="12" t="s">
        <v>36</v>
      </c>
      <c r="C28" s="27">
        <v>1608</v>
      </c>
      <c r="D28" s="27">
        <v>1558</v>
      </c>
      <c r="E28" s="11">
        <v>27</v>
      </c>
      <c r="F28" s="28">
        <v>1.73</v>
      </c>
      <c r="G28" s="11">
        <v>31</v>
      </c>
      <c r="H28" s="28">
        <v>1.99</v>
      </c>
      <c r="I28" s="11">
        <v>1500</v>
      </c>
      <c r="J28" s="28">
        <v>96.28</v>
      </c>
      <c r="K28" s="11">
        <v>0</v>
      </c>
      <c r="L28" s="28">
        <v>0</v>
      </c>
      <c r="M28" s="11">
        <v>58</v>
      </c>
      <c r="N28" s="28">
        <v>3.72</v>
      </c>
      <c r="O28" s="11">
        <v>54</v>
      </c>
      <c r="P28" s="28">
        <v>3.47</v>
      </c>
      <c r="Q28" s="26">
        <v>96.89</v>
      </c>
      <c r="R28" s="11"/>
    </row>
    <row r="29" spans="1:18" ht="15" customHeight="1" x14ac:dyDescent="0.35">
      <c r="A29" s="4">
        <v>23</v>
      </c>
      <c r="B29" s="5" t="s">
        <v>37</v>
      </c>
      <c r="C29" s="24">
        <v>1972</v>
      </c>
      <c r="D29" s="24">
        <v>1876</v>
      </c>
      <c r="E29" s="4">
        <v>69</v>
      </c>
      <c r="F29" s="25">
        <v>3.68</v>
      </c>
      <c r="G29" s="4">
        <v>129</v>
      </c>
      <c r="H29" s="25">
        <v>6.88</v>
      </c>
      <c r="I29" s="4">
        <v>1677</v>
      </c>
      <c r="J29" s="25">
        <v>89.39</v>
      </c>
      <c r="K29" s="4">
        <v>1</v>
      </c>
      <c r="L29" s="25">
        <v>0.05</v>
      </c>
      <c r="M29" s="4">
        <v>198</v>
      </c>
      <c r="N29" s="25">
        <v>10.55</v>
      </c>
      <c r="O29" s="4">
        <v>111</v>
      </c>
      <c r="P29" s="25">
        <v>5.92</v>
      </c>
      <c r="Q29" s="26">
        <f>IFERROR(D29/C29*100,0)</f>
        <v>95.131845841784994</v>
      </c>
      <c r="R29" s="4"/>
    </row>
    <row r="30" spans="1:18" ht="15" customHeight="1" x14ac:dyDescent="0.35">
      <c r="A30" s="11">
        <v>24</v>
      </c>
      <c r="B30" s="12" t="s">
        <v>38</v>
      </c>
      <c r="C30" s="27">
        <v>2083</v>
      </c>
      <c r="D30" s="27">
        <v>2013</v>
      </c>
      <c r="E30" s="11">
        <v>43</v>
      </c>
      <c r="F30" s="28">
        <v>2.14</v>
      </c>
      <c r="G30" s="11">
        <v>197</v>
      </c>
      <c r="H30" s="28">
        <v>9.7899999999999991</v>
      </c>
      <c r="I30" s="11">
        <v>1773</v>
      </c>
      <c r="J30" s="28">
        <v>88.08</v>
      </c>
      <c r="K30" s="11">
        <v>0</v>
      </c>
      <c r="L30" s="28">
        <v>0</v>
      </c>
      <c r="M30" s="11">
        <v>240</v>
      </c>
      <c r="N30" s="28">
        <v>11.92</v>
      </c>
      <c r="O30" s="11">
        <v>175</v>
      </c>
      <c r="P30" s="28">
        <v>8.69</v>
      </c>
      <c r="Q30" s="26">
        <f>IFERROR(D30/C30*100,0)</f>
        <v>96.639462313970242</v>
      </c>
      <c r="R30" s="11"/>
    </row>
    <row r="31" spans="1:18" ht="15" customHeight="1" x14ac:dyDescent="0.35">
      <c r="A31" s="4">
        <v>25</v>
      </c>
      <c r="B31" s="5" t="s">
        <v>39</v>
      </c>
      <c r="C31" s="24">
        <v>1888</v>
      </c>
      <c r="D31" s="24">
        <v>1754</v>
      </c>
      <c r="E31" s="4">
        <v>27</v>
      </c>
      <c r="F31" s="25">
        <v>1.54</v>
      </c>
      <c r="G31" s="4">
        <v>70</v>
      </c>
      <c r="H31" s="25">
        <v>3.99</v>
      </c>
      <c r="I31" s="4">
        <v>1654</v>
      </c>
      <c r="J31" s="25">
        <v>94.3</v>
      </c>
      <c r="K31" s="4">
        <v>3</v>
      </c>
      <c r="L31" s="25">
        <v>0.17</v>
      </c>
      <c r="M31" s="4">
        <v>97</v>
      </c>
      <c r="N31" s="25">
        <v>5.53</v>
      </c>
      <c r="O31" s="4">
        <v>93</v>
      </c>
      <c r="P31" s="25">
        <v>5.3</v>
      </c>
      <c r="Q31" s="26">
        <f>IFERROR(D31/C31*100,0)</f>
        <v>92.902542372881356</v>
      </c>
      <c r="R31" s="4"/>
    </row>
    <row r="32" spans="1:18" ht="21.75" customHeight="1" x14ac:dyDescent="0.35">
      <c r="A32" s="40" t="s">
        <v>40</v>
      </c>
      <c r="B32" s="39"/>
      <c r="C32" s="29">
        <f>SUM(C7:C31)</f>
        <v>55808</v>
      </c>
      <c r="D32" s="29">
        <f>SUM(D7:D31)</f>
        <v>50666</v>
      </c>
      <c r="E32" s="29">
        <f>SUM(E7:E31)</f>
        <v>734</v>
      </c>
      <c r="F32" s="30">
        <f>IFERROR(E32/D32*100,0)</f>
        <v>1.448703272411479</v>
      </c>
      <c r="G32" s="29">
        <f>SUM(G7:G31)</f>
        <v>2409</v>
      </c>
      <c r="H32" s="30">
        <f>IFERROR(G32/D32*100,0)</f>
        <v>4.7546678245766385</v>
      </c>
      <c r="I32" s="29">
        <f>SUM(I7:I31)</f>
        <v>47432</v>
      </c>
      <c r="J32" s="30">
        <f>IFERROR(I32/D32*100,0)</f>
        <v>93.61702127659575</v>
      </c>
      <c r="K32" s="29">
        <f>SUM(K7:K31)</f>
        <v>93</v>
      </c>
      <c r="L32" s="30">
        <f>IFERROR(K32/D32*100,0)</f>
        <v>0.18355504677693127</v>
      </c>
      <c r="M32" s="29">
        <f>SUM(M7:M31)</f>
        <v>3143</v>
      </c>
      <c r="N32" s="30">
        <f>IFERROR(M32/D32*100,0)</f>
        <v>6.2033710969881177</v>
      </c>
      <c r="O32" s="29">
        <f>SUM(O7:O31)</f>
        <v>2237</v>
      </c>
      <c r="P32" s="30">
        <f>IFERROR(O32/D32*100,0)</f>
        <v>4.4151896735483369</v>
      </c>
      <c r="Q32" s="17">
        <f>IFERROR(D32/C32*100,0)</f>
        <v>90.78626720183486</v>
      </c>
      <c r="R32" s="31"/>
    </row>
    <row r="34" spans="1:18" ht="15" customHeight="1" x14ac:dyDescent="0.35">
      <c r="A34" s="37" t="s">
        <v>41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 ht="15" customHeight="1" x14ac:dyDescent="0.35">
      <c r="A35" s="34" t="s">
        <v>57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 ht="15" customHeight="1" x14ac:dyDescent="0.35">
      <c r="A36" s="34" t="s">
        <v>58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ht="15" customHeight="1" x14ac:dyDescent="0.35">
      <c r="A37" s="34" t="s">
        <v>59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</sheetData>
  <mergeCells count="20">
    <mergeCell ref="A1:R1"/>
    <mergeCell ref="A37:R37"/>
    <mergeCell ref="A4:A6"/>
    <mergeCell ref="B4:B6"/>
    <mergeCell ref="O5:P5"/>
    <mergeCell ref="A2:R2"/>
    <mergeCell ref="A35:R35"/>
    <mergeCell ref="R4:R6"/>
    <mergeCell ref="G5:H5"/>
    <mergeCell ref="A32:B32"/>
    <mergeCell ref="I5:J5"/>
    <mergeCell ref="C4:C6"/>
    <mergeCell ref="A34:R34"/>
    <mergeCell ref="Q4:Q6"/>
    <mergeCell ref="A36:R36"/>
    <mergeCell ref="D4:D6"/>
    <mergeCell ref="E4:P4"/>
    <mergeCell ref="E5:F5"/>
    <mergeCell ref="K5:L5"/>
    <mergeCell ref="M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R1"/>
    </sheetView>
  </sheetViews>
  <sheetFormatPr defaultColWidth="8.6328125" defaultRowHeight="14.5" x14ac:dyDescent="0.35"/>
  <cols>
    <col min="1" max="1" width="5" customWidth="1"/>
    <col min="2" max="2" width="16" customWidth="1"/>
    <col min="3" max="4" width="10" customWidth="1"/>
    <col min="5" max="16" width="7" customWidth="1"/>
    <col min="17" max="17" width="10" customWidth="1"/>
    <col min="18" max="18" width="14" customWidth="1"/>
  </cols>
  <sheetData>
    <row r="1" spans="1:18" ht="54.75" customHeight="1" x14ac:dyDescent="0.35">
      <c r="A1" s="32" t="s">
        <v>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5" customHeight="1" x14ac:dyDescent="0.35">
      <c r="A2" s="4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4.5" customHeight="1" x14ac:dyDescent="0.35"/>
    <row r="4" spans="1:18" ht="30" customHeight="1" x14ac:dyDescent="0.35">
      <c r="A4" s="35" t="s">
        <v>2</v>
      </c>
      <c r="B4" s="35" t="s">
        <v>3</v>
      </c>
      <c r="C4" s="35" t="s">
        <v>46</v>
      </c>
      <c r="D4" s="35" t="s">
        <v>47</v>
      </c>
      <c r="E4" s="44" t="s">
        <v>48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51" t="s">
        <v>49</v>
      </c>
      <c r="R4" s="48" t="s">
        <v>50</v>
      </c>
    </row>
    <row r="5" spans="1:18" ht="27.75" customHeight="1" x14ac:dyDescent="0.35">
      <c r="A5" s="36"/>
      <c r="B5" s="36"/>
      <c r="C5" s="36"/>
      <c r="D5" s="36"/>
      <c r="E5" s="45" t="s">
        <v>51</v>
      </c>
      <c r="F5" s="39"/>
      <c r="G5" s="49" t="s">
        <v>52</v>
      </c>
      <c r="H5" s="39"/>
      <c r="I5" s="50" t="s">
        <v>53</v>
      </c>
      <c r="J5" s="39"/>
      <c r="K5" s="44" t="s">
        <v>54</v>
      </c>
      <c r="L5" s="39"/>
      <c r="M5" s="46" t="s">
        <v>55</v>
      </c>
      <c r="N5" s="39"/>
      <c r="O5" s="47" t="s">
        <v>56</v>
      </c>
      <c r="P5" s="39"/>
      <c r="Q5" s="36"/>
      <c r="R5" s="36"/>
    </row>
    <row r="6" spans="1:18" ht="15.75" customHeight="1" x14ac:dyDescent="0.35">
      <c r="A6" s="36"/>
      <c r="B6" s="36"/>
      <c r="C6" s="36"/>
      <c r="D6" s="36"/>
      <c r="E6" s="20" t="s">
        <v>13</v>
      </c>
      <c r="F6" s="20" t="s">
        <v>14</v>
      </c>
      <c r="G6" s="3" t="s">
        <v>13</v>
      </c>
      <c r="H6" s="3" t="s">
        <v>14</v>
      </c>
      <c r="I6" s="21" t="s">
        <v>13</v>
      </c>
      <c r="J6" s="21" t="s">
        <v>14</v>
      </c>
      <c r="K6" s="1" t="s">
        <v>13</v>
      </c>
      <c r="L6" s="1" t="s">
        <v>14</v>
      </c>
      <c r="M6" s="22" t="s">
        <v>13</v>
      </c>
      <c r="N6" s="22" t="s">
        <v>14</v>
      </c>
      <c r="O6" s="23" t="s">
        <v>13</v>
      </c>
      <c r="P6" s="23" t="s">
        <v>14</v>
      </c>
      <c r="Q6" s="36"/>
      <c r="R6" s="36"/>
    </row>
    <row r="7" spans="1:18" ht="15" customHeight="1" x14ac:dyDescent="0.35">
      <c r="A7" s="4">
        <v>1</v>
      </c>
      <c r="B7" s="5" t="s">
        <v>15</v>
      </c>
      <c r="C7" s="24">
        <v>1558</v>
      </c>
      <c r="D7" s="24">
        <v>1535</v>
      </c>
      <c r="E7" s="4">
        <v>18</v>
      </c>
      <c r="F7" s="25">
        <v>1.17</v>
      </c>
      <c r="G7" s="4">
        <v>71</v>
      </c>
      <c r="H7" s="25">
        <v>4.63</v>
      </c>
      <c r="I7" s="4">
        <v>1446</v>
      </c>
      <c r="J7" s="25">
        <v>94.2</v>
      </c>
      <c r="K7" s="4">
        <v>0</v>
      </c>
      <c r="L7" s="25">
        <v>0</v>
      </c>
      <c r="M7" s="4">
        <v>89</v>
      </c>
      <c r="N7" s="25">
        <v>5.8</v>
      </c>
      <c r="O7" s="4">
        <v>72</v>
      </c>
      <c r="P7" s="25">
        <v>4.6900000000000004</v>
      </c>
      <c r="Q7" s="26">
        <f>IFERROR(D7/C7*100,0)</f>
        <v>98.523748395378689</v>
      </c>
      <c r="R7" s="4"/>
    </row>
    <row r="8" spans="1:18" ht="15" customHeight="1" x14ac:dyDescent="0.35">
      <c r="A8" s="11">
        <v>2</v>
      </c>
      <c r="B8" s="12" t="s">
        <v>16</v>
      </c>
      <c r="C8" s="27">
        <v>1461</v>
      </c>
      <c r="D8" s="27">
        <v>1411</v>
      </c>
      <c r="E8" s="11">
        <v>29</v>
      </c>
      <c r="F8" s="28">
        <v>2.06</v>
      </c>
      <c r="G8" s="11">
        <v>153</v>
      </c>
      <c r="H8" s="28">
        <v>10.84</v>
      </c>
      <c r="I8" s="11">
        <v>1228</v>
      </c>
      <c r="J8" s="28">
        <v>87.03</v>
      </c>
      <c r="K8" s="11">
        <v>1</v>
      </c>
      <c r="L8" s="28">
        <v>7.0000000000000007E-2</v>
      </c>
      <c r="M8" s="11">
        <v>182</v>
      </c>
      <c r="N8" s="28">
        <v>12.9</v>
      </c>
      <c r="O8" s="11">
        <v>120</v>
      </c>
      <c r="P8" s="28">
        <v>8.5</v>
      </c>
      <c r="Q8" s="26">
        <f>IFERROR(D8/C8*100,0)</f>
        <v>96.577686516084867</v>
      </c>
      <c r="R8" s="11"/>
    </row>
    <row r="9" spans="1:18" ht="15" customHeight="1" x14ac:dyDescent="0.35">
      <c r="A9" s="4">
        <v>3</v>
      </c>
      <c r="B9" s="5" t="s">
        <v>17</v>
      </c>
      <c r="C9" s="24">
        <v>2522</v>
      </c>
      <c r="D9" s="24">
        <v>2459</v>
      </c>
      <c r="E9" s="4">
        <v>64</v>
      </c>
      <c r="F9" s="25">
        <v>2.6</v>
      </c>
      <c r="G9" s="4">
        <v>142</v>
      </c>
      <c r="H9" s="25">
        <v>5.77</v>
      </c>
      <c r="I9" s="4">
        <v>2253</v>
      </c>
      <c r="J9" s="25">
        <v>91.62</v>
      </c>
      <c r="K9" s="4">
        <v>0</v>
      </c>
      <c r="L9" s="25">
        <v>0</v>
      </c>
      <c r="M9" s="4">
        <v>206</v>
      </c>
      <c r="N9" s="25">
        <v>8.3800000000000008</v>
      </c>
      <c r="O9" s="4">
        <v>174</v>
      </c>
      <c r="P9" s="25">
        <v>7.08</v>
      </c>
      <c r="Q9" s="26">
        <f>IFERROR(D9/C9*100,0)</f>
        <v>97.501982553528947</v>
      </c>
      <c r="R9" s="4"/>
    </row>
    <row r="10" spans="1:18" ht="15" customHeight="1" x14ac:dyDescent="0.35">
      <c r="A10" s="11">
        <v>4</v>
      </c>
      <c r="B10" s="12" t="s">
        <v>18</v>
      </c>
      <c r="C10" s="27">
        <v>1893</v>
      </c>
      <c r="D10" s="27">
        <v>1868</v>
      </c>
      <c r="E10" s="11">
        <v>12</v>
      </c>
      <c r="F10" s="28">
        <v>0.64</v>
      </c>
      <c r="G10" s="11">
        <v>52</v>
      </c>
      <c r="H10" s="28">
        <v>2.78</v>
      </c>
      <c r="I10" s="11">
        <v>1798</v>
      </c>
      <c r="J10" s="28">
        <v>96.25</v>
      </c>
      <c r="K10" s="11">
        <v>6</v>
      </c>
      <c r="L10" s="28">
        <v>0.32</v>
      </c>
      <c r="M10" s="11">
        <v>64</v>
      </c>
      <c r="N10" s="28">
        <v>3.43</v>
      </c>
      <c r="O10" s="11">
        <v>61</v>
      </c>
      <c r="P10" s="28">
        <v>3.5</v>
      </c>
      <c r="Q10" s="26">
        <f>IFERROR(D10/C10*100,0)</f>
        <v>98.679344955097719</v>
      </c>
      <c r="R10" s="11"/>
    </row>
    <row r="11" spans="1:18" ht="15" customHeight="1" x14ac:dyDescent="0.35">
      <c r="A11" s="4">
        <v>5</v>
      </c>
      <c r="B11" s="5" t="s">
        <v>19</v>
      </c>
      <c r="C11" s="24">
        <v>1793</v>
      </c>
      <c r="D11" s="24">
        <v>1868</v>
      </c>
      <c r="E11" s="4">
        <v>22</v>
      </c>
      <c r="F11" s="25">
        <v>1.26</v>
      </c>
      <c r="G11" s="4">
        <v>109</v>
      </c>
      <c r="H11" s="25">
        <v>6.25</v>
      </c>
      <c r="I11" s="4">
        <v>1748</v>
      </c>
      <c r="J11" s="25">
        <v>93.58</v>
      </c>
      <c r="K11" s="4">
        <v>3</v>
      </c>
      <c r="L11" s="25">
        <v>0.16</v>
      </c>
      <c r="M11" s="4">
        <v>131</v>
      </c>
      <c r="N11" s="25">
        <v>7.51</v>
      </c>
      <c r="O11" s="4">
        <v>61</v>
      </c>
      <c r="P11" s="25">
        <v>3.5</v>
      </c>
      <c r="Q11" s="26">
        <v>98.68</v>
      </c>
      <c r="R11" s="4"/>
    </row>
    <row r="12" spans="1:18" ht="15" customHeight="1" x14ac:dyDescent="0.35">
      <c r="A12" s="11">
        <v>6</v>
      </c>
      <c r="B12" s="12" t="s">
        <v>20</v>
      </c>
      <c r="C12" s="27">
        <v>1900</v>
      </c>
      <c r="D12" s="27">
        <v>1853</v>
      </c>
      <c r="E12" s="11">
        <v>16</v>
      </c>
      <c r="F12" s="28">
        <v>0.86</v>
      </c>
      <c r="G12" s="11">
        <v>76</v>
      </c>
      <c r="H12" s="28">
        <v>4.0999999999999996</v>
      </c>
      <c r="I12" s="11">
        <v>1761</v>
      </c>
      <c r="J12" s="28">
        <v>95.04</v>
      </c>
      <c r="K12" s="11">
        <v>0</v>
      </c>
      <c r="L12" s="28">
        <v>0</v>
      </c>
      <c r="M12" s="11">
        <v>92</v>
      </c>
      <c r="N12" s="28">
        <v>4.96</v>
      </c>
      <c r="O12" s="11">
        <v>66</v>
      </c>
      <c r="P12" s="28">
        <v>3.56</v>
      </c>
      <c r="Q12" s="26">
        <f>IFERROR(D12/C12*100,0)</f>
        <v>97.526315789473685</v>
      </c>
      <c r="R12" s="11"/>
    </row>
    <row r="13" spans="1:18" ht="15" customHeight="1" x14ac:dyDescent="0.35">
      <c r="A13" s="4">
        <v>7</v>
      </c>
      <c r="B13" s="5" t="s">
        <v>21</v>
      </c>
      <c r="C13" s="24">
        <v>1900</v>
      </c>
      <c r="D13" s="24">
        <v>1745</v>
      </c>
      <c r="E13" s="4">
        <v>16</v>
      </c>
      <c r="F13" s="25">
        <v>0.92</v>
      </c>
      <c r="G13" s="4">
        <v>76</v>
      </c>
      <c r="H13" s="25">
        <v>4.3600000000000003</v>
      </c>
      <c r="I13" s="4">
        <v>1651</v>
      </c>
      <c r="J13" s="25">
        <v>94.61</v>
      </c>
      <c r="K13" s="4">
        <v>2</v>
      </c>
      <c r="L13" s="25">
        <v>0.11</v>
      </c>
      <c r="M13" s="4">
        <v>92</v>
      </c>
      <c r="N13" s="25">
        <v>5.27</v>
      </c>
      <c r="O13" s="4">
        <v>66</v>
      </c>
      <c r="P13" s="25">
        <v>3.78</v>
      </c>
      <c r="Q13" s="26">
        <v>91.84</v>
      </c>
      <c r="R13" s="4"/>
    </row>
    <row r="14" spans="1:18" ht="15" customHeight="1" x14ac:dyDescent="0.35">
      <c r="A14" s="11">
        <v>8</v>
      </c>
      <c r="B14" s="12" t="s">
        <v>22</v>
      </c>
      <c r="C14" s="27">
        <v>2755</v>
      </c>
      <c r="D14" s="27">
        <v>2710</v>
      </c>
      <c r="E14" s="11">
        <v>22</v>
      </c>
      <c r="F14" s="28">
        <v>0.81</v>
      </c>
      <c r="G14" s="11">
        <v>115</v>
      </c>
      <c r="H14" s="28">
        <v>4.24</v>
      </c>
      <c r="I14" s="11">
        <v>2573</v>
      </c>
      <c r="J14" s="28">
        <v>94.94</v>
      </c>
      <c r="K14" s="11">
        <v>0</v>
      </c>
      <c r="L14" s="28">
        <v>0</v>
      </c>
      <c r="M14" s="11">
        <v>137</v>
      </c>
      <c r="N14" s="28">
        <v>5.0599999999999996</v>
      </c>
      <c r="O14" s="11">
        <v>84</v>
      </c>
      <c r="P14" s="28">
        <v>3.77</v>
      </c>
      <c r="Q14" s="26">
        <f>IFERROR(D14/C14*100,0)</f>
        <v>98.366606170598914</v>
      </c>
      <c r="R14" s="11"/>
    </row>
    <row r="15" spans="1:18" ht="15" customHeight="1" x14ac:dyDescent="0.35">
      <c r="A15" s="4">
        <v>9</v>
      </c>
      <c r="B15" s="5" t="s">
        <v>23</v>
      </c>
      <c r="C15" s="24">
        <v>2838</v>
      </c>
      <c r="D15" s="24">
        <v>2573</v>
      </c>
      <c r="E15" s="4">
        <v>38</v>
      </c>
      <c r="F15" s="25">
        <v>1.48</v>
      </c>
      <c r="G15" s="4">
        <v>115</v>
      </c>
      <c r="H15" s="25">
        <v>4.47</v>
      </c>
      <c r="I15" s="4">
        <v>2420</v>
      </c>
      <c r="J15" s="25">
        <v>94.06</v>
      </c>
      <c r="K15" s="4">
        <v>0</v>
      </c>
      <c r="L15" s="25">
        <v>0</v>
      </c>
      <c r="M15" s="4">
        <v>153</v>
      </c>
      <c r="N15" s="25">
        <v>5.95</v>
      </c>
      <c r="O15" s="4">
        <v>84</v>
      </c>
      <c r="P15" s="25">
        <v>3.26</v>
      </c>
      <c r="Q15" s="26">
        <v>90.65</v>
      </c>
      <c r="R15" s="4"/>
    </row>
    <row r="16" spans="1:18" ht="15" customHeight="1" x14ac:dyDescent="0.35">
      <c r="A16" s="11">
        <v>10</v>
      </c>
      <c r="B16" s="12" t="s">
        <v>24</v>
      </c>
      <c r="C16" s="27">
        <v>1430</v>
      </c>
      <c r="D16" s="27">
        <v>1313</v>
      </c>
      <c r="E16" s="11">
        <v>13</v>
      </c>
      <c r="F16" s="28">
        <v>0.99</v>
      </c>
      <c r="G16" s="11">
        <v>37</v>
      </c>
      <c r="H16" s="28">
        <v>2.82</v>
      </c>
      <c r="I16" s="11">
        <v>1262</v>
      </c>
      <c r="J16" s="28">
        <v>96.12</v>
      </c>
      <c r="K16" s="11">
        <v>1</v>
      </c>
      <c r="L16" s="28">
        <v>0.08</v>
      </c>
      <c r="M16" s="11">
        <v>50</v>
      </c>
      <c r="N16" s="28">
        <v>3.81</v>
      </c>
      <c r="O16" s="11">
        <v>47</v>
      </c>
      <c r="P16" s="28">
        <v>3.78</v>
      </c>
      <c r="Q16" s="26">
        <f>IFERROR(D16/C16*100,0)</f>
        <v>91.818181818181827</v>
      </c>
      <c r="R16" s="11"/>
    </row>
    <row r="17" spans="1:18" ht="15" customHeight="1" x14ac:dyDescent="0.35">
      <c r="A17" s="4">
        <v>11</v>
      </c>
      <c r="B17" s="5" t="s">
        <v>25</v>
      </c>
      <c r="C17" s="24">
        <v>1576</v>
      </c>
      <c r="D17" s="24">
        <v>1271</v>
      </c>
      <c r="E17" s="4">
        <v>18</v>
      </c>
      <c r="F17" s="25">
        <v>1.42</v>
      </c>
      <c r="G17" s="4">
        <v>53</v>
      </c>
      <c r="H17" s="25">
        <v>4.17</v>
      </c>
      <c r="I17" s="4">
        <v>1196</v>
      </c>
      <c r="J17" s="25">
        <v>94.1</v>
      </c>
      <c r="K17" s="4">
        <v>4</v>
      </c>
      <c r="L17" s="25">
        <v>0.31</v>
      </c>
      <c r="M17" s="4">
        <v>71</v>
      </c>
      <c r="N17" s="25">
        <v>5.59</v>
      </c>
      <c r="O17" s="4">
        <v>59</v>
      </c>
      <c r="P17" s="25">
        <v>4.6399999999999997</v>
      </c>
      <c r="Q17" s="26">
        <v>80.64</v>
      </c>
      <c r="R17" s="4"/>
    </row>
    <row r="18" spans="1:18" ht="15" customHeight="1" x14ac:dyDescent="0.35">
      <c r="A18" s="11">
        <v>12</v>
      </c>
      <c r="B18" s="12" t="s">
        <v>26</v>
      </c>
      <c r="C18" s="27">
        <v>1380</v>
      </c>
      <c r="D18" s="27">
        <v>1294</v>
      </c>
      <c r="E18" s="11">
        <v>12</v>
      </c>
      <c r="F18" s="28">
        <v>0.93</v>
      </c>
      <c r="G18" s="11">
        <v>65</v>
      </c>
      <c r="H18" s="28">
        <v>5.0199999999999996</v>
      </c>
      <c r="I18" s="11">
        <v>1217</v>
      </c>
      <c r="J18" s="28">
        <v>94.05</v>
      </c>
      <c r="K18" s="11">
        <v>0</v>
      </c>
      <c r="L18" s="28">
        <v>0</v>
      </c>
      <c r="M18" s="11">
        <v>77</v>
      </c>
      <c r="N18" s="28">
        <v>5.95</v>
      </c>
      <c r="O18" s="11">
        <v>72</v>
      </c>
      <c r="P18" s="28">
        <v>5.56</v>
      </c>
      <c r="Q18" s="26">
        <v>93.77</v>
      </c>
      <c r="R18" s="11"/>
    </row>
    <row r="19" spans="1:18" ht="15" customHeight="1" x14ac:dyDescent="0.35">
      <c r="A19" s="4">
        <v>13</v>
      </c>
      <c r="B19" s="5" t="s">
        <v>27</v>
      </c>
      <c r="C19" s="24">
        <v>3172</v>
      </c>
      <c r="D19" s="24">
        <v>3041</v>
      </c>
      <c r="E19" s="4">
        <v>28</v>
      </c>
      <c r="F19" s="25">
        <v>0.92</v>
      </c>
      <c r="G19" s="4">
        <v>158</v>
      </c>
      <c r="H19" s="25">
        <v>5.2</v>
      </c>
      <c r="I19" s="4">
        <v>2846</v>
      </c>
      <c r="J19" s="25">
        <v>93.59</v>
      </c>
      <c r="K19" s="4">
        <v>9</v>
      </c>
      <c r="L19" s="25">
        <v>0.3</v>
      </c>
      <c r="M19" s="4">
        <v>186</v>
      </c>
      <c r="N19" s="25">
        <v>6.12</v>
      </c>
      <c r="O19" s="4">
        <v>90</v>
      </c>
      <c r="P19" s="25">
        <v>2.96</v>
      </c>
      <c r="Q19" s="26">
        <f>IFERROR(D19/C19*100,0)</f>
        <v>95.870113493064309</v>
      </c>
      <c r="R19" s="4"/>
    </row>
    <row r="20" spans="1:18" ht="15" customHeight="1" x14ac:dyDescent="0.35">
      <c r="A20" s="11">
        <v>14</v>
      </c>
      <c r="B20" s="12" t="s">
        <v>28</v>
      </c>
      <c r="C20" s="27">
        <v>2950</v>
      </c>
      <c r="D20" s="27">
        <v>2912</v>
      </c>
      <c r="E20" s="11">
        <v>70</v>
      </c>
      <c r="F20" s="28">
        <v>2.4</v>
      </c>
      <c r="G20" s="11">
        <v>123</v>
      </c>
      <c r="H20" s="28">
        <v>4.22</v>
      </c>
      <c r="I20" s="11">
        <v>2717</v>
      </c>
      <c r="J20" s="28">
        <v>93.3</v>
      </c>
      <c r="K20" s="11">
        <v>2</v>
      </c>
      <c r="L20" s="28">
        <v>7.0000000000000007E-2</v>
      </c>
      <c r="M20" s="11">
        <v>193</v>
      </c>
      <c r="N20" s="28">
        <v>6.63</v>
      </c>
      <c r="O20" s="11">
        <v>142</v>
      </c>
      <c r="P20" s="28">
        <v>4.88</v>
      </c>
      <c r="Q20" s="26">
        <f>IFERROR(D20/C20*100,0)</f>
        <v>98.711864406779654</v>
      </c>
      <c r="R20" s="11"/>
    </row>
    <row r="21" spans="1:18" ht="15" customHeight="1" x14ac:dyDescent="0.35">
      <c r="A21" s="4">
        <v>15</v>
      </c>
      <c r="B21" s="5" t="s">
        <v>29</v>
      </c>
      <c r="C21" s="24">
        <v>3995</v>
      </c>
      <c r="D21" s="24">
        <v>3780</v>
      </c>
      <c r="E21" s="4">
        <v>24</v>
      </c>
      <c r="F21" s="25">
        <v>0.63</v>
      </c>
      <c r="G21" s="4">
        <v>169</v>
      </c>
      <c r="H21" s="25">
        <v>4.47</v>
      </c>
      <c r="I21" s="4">
        <v>3578</v>
      </c>
      <c r="J21" s="25">
        <v>94.66</v>
      </c>
      <c r="K21" s="4">
        <v>9</v>
      </c>
      <c r="L21" s="25">
        <v>0.24</v>
      </c>
      <c r="M21" s="4">
        <v>193</v>
      </c>
      <c r="N21" s="25">
        <v>5.1100000000000003</v>
      </c>
      <c r="O21" s="4">
        <v>175</v>
      </c>
      <c r="P21" s="25">
        <v>4.63</v>
      </c>
      <c r="Q21" s="26">
        <f>IFERROR(D21/C21*100,0)</f>
        <v>94.618272841051308</v>
      </c>
      <c r="R21" s="4"/>
    </row>
    <row r="22" spans="1:18" ht="15" customHeight="1" x14ac:dyDescent="0.35">
      <c r="A22" s="11">
        <v>16</v>
      </c>
      <c r="B22" s="12" t="s">
        <v>30</v>
      </c>
      <c r="C22" s="27">
        <v>1352</v>
      </c>
      <c r="D22" s="27">
        <v>1343</v>
      </c>
      <c r="E22" s="11">
        <v>23</v>
      </c>
      <c r="F22" s="28">
        <v>1.71</v>
      </c>
      <c r="G22" s="11">
        <v>109</v>
      </c>
      <c r="H22" s="28">
        <v>8.1199999999999992</v>
      </c>
      <c r="I22" s="11">
        <v>1209</v>
      </c>
      <c r="J22" s="28">
        <v>90.02</v>
      </c>
      <c r="K22" s="11">
        <v>2</v>
      </c>
      <c r="L22" s="28">
        <v>0.15</v>
      </c>
      <c r="M22" s="11">
        <v>132</v>
      </c>
      <c r="N22" s="28">
        <v>9.83</v>
      </c>
      <c r="O22" s="11">
        <v>65</v>
      </c>
      <c r="P22" s="28">
        <v>4.84</v>
      </c>
      <c r="Q22" s="26">
        <f>IFERROR(D22/C22*100,0)</f>
        <v>99.334319526627226</v>
      </c>
      <c r="R22" s="11"/>
    </row>
    <row r="23" spans="1:18" ht="15" customHeight="1" x14ac:dyDescent="0.35">
      <c r="A23" s="4">
        <v>17</v>
      </c>
      <c r="B23" s="5" t="s">
        <v>31</v>
      </c>
      <c r="C23" s="24">
        <v>2346</v>
      </c>
      <c r="D23" s="24">
        <v>2071</v>
      </c>
      <c r="E23" s="4">
        <v>25</v>
      </c>
      <c r="F23" s="25">
        <v>1.21</v>
      </c>
      <c r="G23" s="4">
        <v>93</v>
      </c>
      <c r="H23" s="25">
        <v>4.49</v>
      </c>
      <c r="I23" s="4">
        <v>1950</v>
      </c>
      <c r="J23" s="25">
        <v>94.15</v>
      </c>
      <c r="K23" s="4">
        <v>3</v>
      </c>
      <c r="L23" s="25">
        <v>0.14000000000000001</v>
      </c>
      <c r="M23" s="4">
        <v>118</v>
      </c>
      <c r="N23" s="25">
        <v>5.7</v>
      </c>
      <c r="O23" s="4">
        <v>65</v>
      </c>
      <c r="P23" s="25">
        <v>3.14</v>
      </c>
      <c r="Q23" s="26">
        <v>88.28</v>
      </c>
      <c r="R23" s="4"/>
    </row>
    <row r="24" spans="1:18" ht="15" customHeight="1" x14ac:dyDescent="0.35">
      <c r="A24" s="11">
        <v>18</v>
      </c>
      <c r="B24" s="12" t="s">
        <v>32</v>
      </c>
      <c r="C24" s="27">
        <v>2220</v>
      </c>
      <c r="D24" s="27">
        <v>2153</v>
      </c>
      <c r="E24" s="11">
        <v>19</v>
      </c>
      <c r="F24" s="28">
        <v>0.88</v>
      </c>
      <c r="G24" s="11">
        <v>93</v>
      </c>
      <c r="H24" s="28">
        <v>4.32</v>
      </c>
      <c r="I24" s="11">
        <v>2037</v>
      </c>
      <c r="J24" s="28">
        <v>94.61</v>
      </c>
      <c r="K24" s="11">
        <v>4</v>
      </c>
      <c r="L24" s="28">
        <v>0.19</v>
      </c>
      <c r="M24" s="11">
        <v>112</v>
      </c>
      <c r="N24" s="28">
        <v>5.2</v>
      </c>
      <c r="O24" s="11">
        <v>55</v>
      </c>
      <c r="P24" s="28">
        <v>2.6</v>
      </c>
      <c r="Q24" s="26">
        <f>IFERROR(D24/C24*100,0)</f>
        <v>96.981981981981974</v>
      </c>
      <c r="R24" s="11"/>
    </row>
    <row r="25" spans="1:18" ht="15" customHeight="1" x14ac:dyDescent="0.35">
      <c r="A25" s="4">
        <v>19</v>
      </c>
      <c r="B25" s="5" t="s">
        <v>33</v>
      </c>
      <c r="C25" s="24">
        <v>2257</v>
      </c>
      <c r="D25" s="24">
        <v>2115</v>
      </c>
      <c r="E25" s="4">
        <v>25</v>
      </c>
      <c r="F25" s="25">
        <v>1.18</v>
      </c>
      <c r="G25" s="4">
        <v>32</v>
      </c>
      <c r="H25" s="25">
        <v>1.51</v>
      </c>
      <c r="I25" s="4">
        <v>2052</v>
      </c>
      <c r="J25" s="25">
        <v>97.02</v>
      </c>
      <c r="K25" s="4">
        <v>6</v>
      </c>
      <c r="L25" s="25">
        <v>0.28000000000000003</v>
      </c>
      <c r="M25" s="4">
        <v>57</v>
      </c>
      <c r="N25" s="25">
        <v>2.7</v>
      </c>
      <c r="O25" s="4">
        <v>55</v>
      </c>
      <c r="P25" s="25">
        <v>2.6</v>
      </c>
      <c r="Q25" s="26">
        <v>93.71</v>
      </c>
      <c r="R25" s="4"/>
    </row>
    <row r="26" spans="1:18" ht="15" customHeight="1" x14ac:dyDescent="0.35">
      <c r="A26" s="11">
        <v>20</v>
      </c>
      <c r="B26" s="12" t="s">
        <v>34</v>
      </c>
      <c r="C26" s="27">
        <v>3376</v>
      </c>
      <c r="D26" s="27">
        <v>3235</v>
      </c>
      <c r="E26" s="11">
        <v>56</v>
      </c>
      <c r="F26" s="28">
        <v>1.73</v>
      </c>
      <c r="G26" s="11">
        <v>124</v>
      </c>
      <c r="H26" s="28">
        <v>3.83</v>
      </c>
      <c r="I26" s="11">
        <v>3055</v>
      </c>
      <c r="J26" s="28">
        <v>94.44</v>
      </c>
      <c r="K26" s="11">
        <v>0</v>
      </c>
      <c r="L26" s="28">
        <v>0</v>
      </c>
      <c r="M26" s="11">
        <v>180</v>
      </c>
      <c r="N26" s="28">
        <v>5.56</v>
      </c>
      <c r="O26" s="11">
        <v>137</v>
      </c>
      <c r="P26" s="28">
        <v>4.2300000000000004</v>
      </c>
      <c r="Q26" s="26">
        <f>IFERROR(D26/C26*100,0)</f>
        <v>95.823459715639814</v>
      </c>
      <c r="R26" s="11"/>
    </row>
    <row r="27" spans="1:18" ht="15" customHeight="1" x14ac:dyDescent="0.35">
      <c r="A27" s="4">
        <v>21</v>
      </c>
      <c r="B27" s="5" t="s">
        <v>35</v>
      </c>
      <c r="C27" s="24">
        <v>1608</v>
      </c>
      <c r="D27" s="24">
        <v>1558</v>
      </c>
      <c r="E27" s="4">
        <v>27</v>
      </c>
      <c r="F27" s="25">
        <v>1.73</v>
      </c>
      <c r="G27" s="4">
        <v>31</v>
      </c>
      <c r="H27" s="25">
        <v>1.99</v>
      </c>
      <c r="I27" s="4">
        <v>1500</v>
      </c>
      <c r="J27" s="25">
        <v>96.28</v>
      </c>
      <c r="K27" s="4">
        <v>0</v>
      </c>
      <c r="L27" s="25">
        <v>0</v>
      </c>
      <c r="M27" s="4">
        <v>58</v>
      </c>
      <c r="N27" s="25">
        <v>3.72</v>
      </c>
      <c r="O27" s="4">
        <v>54</v>
      </c>
      <c r="P27" s="25">
        <v>3.47</v>
      </c>
      <c r="Q27" s="26">
        <f>IFERROR(D27/C27*100,0)</f>
        <v>96.890547263681597</v>
      </c>
      <c r="R27" s="4"/>
    </row>
    <row r="28" spans="1:18" ht="15" customHeight="1" x14ac:dyDescent="0.35">
      <c r="A28" s="11">
        <v>22</v>
      </c>
      <c r="B28" s="12" t="s">
        <v>36</v>
      </c>
      <c r="C28" s="27">
        <v>1258</v>
      </c>
      <c r="D28" s="27">
        <v>1220</v>
      </c>
      <c r="E28" s="11">
        <v>19</v>
      </c>
      <c r="F28" s="28">
        <v>1.56</v>
      </c>
      <c r="G28" s="11">
        <v>35</v>
      </c>
      <c r="H28" s="28">
        <v>2.87</v>
      </c>
      <c r="I28" s="11">
        <v>1166</v>
      </c>
      <c r="J28" s="28">
        <v>95.57</v>
      </c>
      <c r="K28" s="11">
        <v>0</v>
      </c>
      <c r="L28" s="28">
        <v>0</v>
      </c>
      <c r="M28" s="11">
        <v>54</v>
      </c>
      <c r="N28" s="28">
        <v>4.43</v>
      </c>
      <c r="O28" s="11">
        <v>35</v>
      </c>
      <c r="P28" s="28">
        <v>2.87</v>
      </c>
      <c r="Q28" s="26">
        <v>96.98</v>
      </c>
      <c r="R28" s="11"/>
    </row>
    <row r="29" spans="1:18" ht="15" customHeight="1" x14ac:dyDescent="0.35">
      <c r="A29" s="4">
        <v>23</v>
      </c>
      <c r="B29" s="5" t="s">
        <v>37</v>
      </c>
      <c r="C29" s="24">
        <v>2046</v>
      </c>
      <c r="D29" s="24">
        <v>2028</v>
      </c>
      <c r="E29" s="4">
        <v>54</v>
      </c>
      <c r="F29" s="25">
        <v>2.66</v>
      </c>
      <c r="G29" s="4">
        <v>168</v>
      </c>
      <c r="H29" s="25">
        <v>8.2799999999999994</v>
      </c>
      <c r="I29" s="4">
        <v>1804</v>
      </c>
      <c r="J29" s="25">
        <v>88.95</v>
      </c>
      <c r="K29" s="4">
        <v>2</v>
      </c>
      <c r="L29" s="25">
        <v>0.1</v>
      </c>
      <c r="M29" s="4">
        <v>222</v>
      </c>
      <c r="N29" s="25">
        <v>10.95</v>
      </c>
      <c r="O29" s="4">
        <v>134</v>
      </c>
      <c r="P29" s="25">
        <v>6.61</v>
      </c>
      <c r="Q29" s="26">
        <f>IFERROR(D29/C29*100,0)</f>
        <v>99.120234604105576</v>
      </c>
      <c r="R29" s="4"/>
    </row>
    <row r="30" spans="1:18" ht="15" customHeight="1" x14ac:dyDescent="0.35">
      <c r="A30" s="11">
        <v>24</v>
      </c>
      <c r="B30" s="12" t="s">
        <v>38</v>
      </c>
      <c r="C30" s="27">
        <v>2046</v>
      </c>
      <c r="D30" s="27">
        <v>2014</v>
      </c>
      <c r="E30" s="11">
        <v>41</v>
      </c>
      <c r="F30" s="28">
        <v>2.04</v>
      </c>
      <c r="G30" s="11">
        <v>206</v>
      </c>
      <c r="H30" s="28">
        <v>10.23</v>
      </c>
      <c r="I30" s="11">
        <v>1767</v>
      </c>
      <c r="J30" s="28">
        <v>87.74</v>
      </c>
      <c r="K30" s="11">
        <v>0</v>
      </c>
      <c r="L30" s="28">
        <v>0</v>
      </c>
      <c r="M30" s="11">
        <v>247</v>
      </c>
      <c r="N30" s="28">
        <v>12.26</v>
      </c>
      <c r="O30" s="11">
        <v>151</v>
      </c>
      <c r="P30" s="28">
        <v>7.5</v>
      </c>
      <c r="Q30" s="26">
        <f>IFERROR(D30/C30*100,0)</f>
        <v>98.435972629521018</v>
      </c>
      <c r="R30" s="11"/>
    </row>
    <row r="31" spans="1:18" ht="15" customHeight="1" x14ac:dyDescent="0.35">
      <c r="A31" s="4">
        <v>25</v>
      </c>
      <c r="B31" s="5" t="s">
        <v>39</v>
      </c>
      <c r="C31" s="24">
        <v>1776</v>
      </c>
      <c r="D31" s="24">
        <v>1728</v>
      </c>
      <c r="E31" s="4">
        <v>23</v>
      </c>
      <c r="F31" s="25">
        <v>1.33</v>
      </c>
      <c r="G31" s="4">
        <v>61</v>
      </c>
      <c r="H31" s="25">
        <v>3.53</v>
      </c>
      <c r="I31" s="4">
        <v>1641</v>
      </c>
      <c r="J31" s="25">
        <v>94.97</v>
      </c>
      <c r="K31" s="4">
        <v>3</v>
      </c>
      <c r="L31" s="25">
        <v>0.17</v>
      </c>
      <c r="M31" s="4">
        <v>84</v>
      </c>
      <c r="N31" s="25">
        <v>4.8600000000000003</v>
      </c>
      <c r="O31" s="4">
        <v>67</v>
      </c>
      <c r="P31" s="25">
        <v>3.88</v>
      </c>
      <c r="Q31" s="26">
        <f>IFERROR(D31/C31*100,0)</f>
        <v>97.297297297297305</v>
      </c>
      <c r="R31" s="4"/>
    </row>
    <row r="32" spans="1:18" ht="21.75" customHeight="1" x14ac:dyDescent="0.35">
      <c r="A32" s="40" t="s">
        <v>40</v>
      </c>
      <c r="B32" s="39"/>
      <c r="C32" s="29">
        <f>SUM(C7:C31)</f>
        <v>53408</v>
      </c>
      <c r="D32" s="29">
        <f>SUM(D7:D31)</f>
        <v>51098</v>
      </c>
      <c r="E32" s="29">
        <f>SUM(E7:E31)</f>
        <v>714</v>
      </c>
      <c r="F32" s="30">
        <f>IFERROR(E32/D32*100,0)</f>
        <v>1.3973149634036557</v>
      </c>
      <c r="G32" s="29">
        <f>SUM(G7:G31)</f>
        <v>2466</v>
      </c>
      <c r="H32" s="30">
        <f>IFERROR(G32/D32*100,0)</f>
        <v>4.8260205878899374</v>
      </c>
      <c r="I32" s="29">
        <f>SUM(I7:I31)</f>
        <v>47875</v>
      </c>
      <c r="J32" s="30">
        <f>IFERROR(I32/D32*100,0)</f>
        <v>93.692512427100866</v>
      </c>
      <c r="K32" s="29">
        <f>SUM(K7:K31)</f>
        <v>57</v>
      </c>
      <c r="L32" s="30">
        <f>IFERROR(K32/D32*100,0)</f>
        <v>0.11155035422130025</v>
      </c>
      <c r="M32" s="29">
        <f>SUM(M7:M31)</f>
        <v>3180</v>
      </c>
      <c r="N32" s="30">
        <f>IFERROR(M32/D32*100,0)</f>
        <v>6.2233355512935926</v>
      </c>
      <c r="O32" s="29">
        <f>SUM(O7:O31)</f>
        <v>2191</v>
      </c>
      <c r="P32" s="30">
        <f>IFERROR(O32/D32*100,0)</f>
        <v>4.2878390543661205</v>
      </c>
      <c r="Q32" s="17">
        <f>IFERROR(D32/C32*100,0)</f>
        <v>95.674805272618329</v>
      </c>
      <c r="R32" s="31"/>
    </row>
    <row r="34" spans="1:18" ht="15" customHeight="1" x14ac:dyDescent="0.35">
      <c r="A34" s="37" t="s">
        <v>41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 ht="15" customHeight="1" x14ac:dyDescent="0.35">
      <c r="A35" s="34" t="s">
        <v>57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 ht="15" customHeight="1" x14ac:dyDescent="0.35">
      <c r="A36" s="34" t="s">
        <v>58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ht="15" customHeight="1" x14ac:dyDescent="0.35">
      <c r="A37" s="34" t="s">
        <v>59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</sheetData>
  <mergeCells count="20">
    <mergeCell ref="A1:R1"/>
    <mergeCell ref="A37:R37"/>
    <mergeCell ref="A4:A6"/>
    <mergeCell ref="B4:B6"/>
    <mergeCell ref="O5:P5"/>
    <mergeCell ref="A2:R2"/>
    <mergeCell ref="A35:R35"/>
    <mergeCell ref="R4:R6"/>
    <mergeCell ref="G5:H5"/>
    <mergeCell ref="A32:B32"/>
    <mergeCell ref="I5:J5"/>
    <mergeCell ref="C4:C6"/>
    <mergeCell ref="A34:R34"/>
    <mergeCell ref="Q4:Q6"/>
    <mergeCell ref="A36:R36"/>
    <mergeCell ref="D4:D6"/>
    <mergeCell ref="E4:P4"/>
    <mergeCell ref="E5:F5"/>
    <mergeCell ref="K5:L5"/>
    <mergeCell ref="M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"/>
  <sheetViews>
    <sheetView showGridLines="0" tabSelected="1" zoomScaleNormal="100" workbookViewId="0">
      <pane xSplit="2" ySplit="6" topLeftCell="C23" activePane="bottomRight" state="frozen"/>
      <selection pane="topRight" activeCell="C1" sqref="C1"/>
      <selection pane="bottomLeft" activeCell="A7" sqref="A7"/>
      <selection pane="bottomRight" activeCell="B27" sqref="B27"/>
    </sheetView>
  </sheetViews>
  <sheetFormatPr defaultColWidth="8.6328125" defaultRowHeight="14.5" x14ac:dyDescent="0.35"/>
  <cols>
    <col min="1" max="1" width="5" customWidth="1"/>
    <col min="2" max="2" width="16" customWidth="1"/>
    <col min="3" max="4" width="10" customWidth="1"/>
    <col min="5" max="16" width="7" customWidth="1"/>
    <col min="17" max="17" width="10" customWidth="1"/>
    <col min="18" max="18" width="14" customWidth="1"/>
  </cols>
  <sheetData>
    <row r="1" spans="1:18" ht="54.75" customHeight="1" x14ac:dyDescent="0.35">
      <c r="A1" s="32" t="s">
        <v>61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5" customHeight="1" x14ac:dyDescent="0.35">
      <c r="A2" s="4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4.5" customHeight="1" x14ac:dyDescent="0.35"/>
    <row r="4" spans="1:18" ht="30" customHeight="1" x14ac:dyDescent="0.35">
      <c r="A4" s="35" t="s">
        <v>2</v>
      </c>
      <c r="B4" s="35" t="s">
        <v>3</v>
      </c>
      <c r="C4" s="35" t="s">
        <v>46</v>
      </c>
      <c r="D4" s="35" t="s">
        <v>47</v>
      </c>
      <c r="E4" s="44" t="s">
        <v>48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51" t="s">
        <v>49</v>
      </c>
      <c r="R4" s="48" t="s">
        <v>50</v>
      </c>
    </row>
    <row r="5" spans="1:18" ht="27.75" customHeight="1" x14ac:dyDescent="0.35">
      <c r="A5" s="36"/>
      <c r="B5" s="36"/>
      <c r="C5" s="36"/>
      <c r="D5" s="36"/>
      <c r="E5" s="45" t="s">
        <v>51</v>
      </c>
      <c r="F5" s="39"/>
      <c r="G5" s="49" t="s">
        <v>52</v>
      </c>
      <c r="H5" s="39"/>
      <c r="I5" s="50" t="s">
        <v>53</v>
      </c>
      <c r="J5" s="39"/>
      <c r="K5" s="44" t="s">
        <v>54</v>
      </c>
      <c r="L5" s="39"/>
      <c r="M5" s="46" t="s">
        <v>55</v>
      </c>
      <c r="N5" s="39"/>
      <c r="O5" s="47" t="s">
        <v>56</v>
      </c>
      <c r="P5" s="39"/>
      <c r="Q5" s="36"/>
      <c r="R5" s="36"/>
    </row>
    <row r="6" spans="1:18" ht="15.75" customHeight="1" x14ac:dyDescent="0.35">
      <c r="A6" s="36"/>
      <c r="B6" s="36"/>
      <c r="C6" s="36"/>
      <c r="D6" s="36"/>
      <c r="E6" s="20" t="s">
        <v>13</v>
      </c>
      <c r="F6" s="20" t="s">
        <v>14</v>
      </c>
      <c r="G6" s="3" t="s">
        <v>13</v>
      </c>
      <c r="H6" s="3" t="s">
        <v>14</v>
      </c>
      <c r="I6" s="21" t="s">
        <v>13</v>
      </c>
      <c r="J6" s="21" t="s">
        <v>14</v>
      </c>
      <c r="K6" s="1" t="s">
        <v>13</v>
      </c>
      <c r="L6" s="1" t="s">
        <v>14</v>
      </c>
      <c r="M6" s="22" t="s">
        <v>13</v>
      </c>
      <c r="N6" s="22" t="s">
        <v>14</v>
      </c>
      <c r="O6" s="23" t="s">
        <v>13</v>
      </c>
      <c r="P6" s="23" t="s">
        <v>14</v>
      </c>
      <c r="Q6" s="36"/>
      <c r="R6" s="36"/>
    </row>
    <row r="7" spans="1:18" ht="15" customHeight="1" x14ac:dyDescent="0.35">
      <c r="A7" s="4">
        <v>1</v>
      </c>
      <c r="B7" s="5" t="s">
        <v>15</v>
      </c>
      <c r="C7" s="24">
        <v>1420</v>
      </c>
      <c r="D7" s="24">
        <v>1420</v>
      </c>
      <c r="E7" s="4">
        <v>10</v>
      </c>
      <c r="F7" s="25">
        <v>0.7</v>
      </c>
      <c r="G7" s="4">
        <v>54</v>
      </c>
      <c r="H7" s="25">
        <v>3.8</v>
      </c>
      <c r="I7" s="4">
        <v>1356</v>
      </c>
      <c r="J7" s="25">
        <v>95.49</v>
      </c>
      <c r="K7" s="4">
        <v>0</v>
      </c>
      <c r="L7" s="25">
        <v>0</v>
      </c>
      <c r="M7" s="4">
        <v>64</v>
      </c>
      <c r="N7" s="25">
        <v>4.51</v>
      </c>
      <c r="O7" s="4">
        <v>56</v>
      </c>
      <c r="P7" s="25">
        <v>3.94</v>
      </c>
      <c r="Q7" s="26">
        <f>IFERROR(D7/C7*100,0)</f>
        <v>100</v>
      </c>
      <c r="R7" s="4"/>
    </row>
    <row r="8" spans="1:18" ht="15" customHeight="1" x14ac:dyDescent="0.35">
      <c r="A8" s="11">
        <v>2</v>
      </c>
      <c r="B8" s="12" t="s">
        <v>16</v>
      </c>
      <c r="C8" s="27">
        <v>1446</v>
      </c>
      <c r="D8" s="27">
        <v>1228</v>
      </c>
      <c r="E8" s="11">
        <v>10</v>
      </c>
      <c r="F8" s="28">
        <v>0.7</v>
      </c>
      <c r="G8" s="11">
        <v>54</v>
      </c>
      <c r="H8" s="28">
        <v>3.8</v>
      </c>
      <c r="I8" s="11">
        <v>1112</v>
      </c>
      <c r="J8" s="28">
        <v>90.55</v>
      </c>
      <c r="K8" s="11">
        <v>0</v>
      </c>
      <c r="L8" s="28">
        <v>0</v>
      </c>
      <c r="M8" s="11">
        <v>116</v>
      </c>
      <c r="N8" s="28">
        <v>9.4499999999999993</v>
      </c>
      <c r="O8" s="11">
        <v>76</v>
      </c>
      <c r="P8" s="28">
        <v>6.19</v>
      </c>
      <c r="Q8" s="26">
        <f>IFERROR(D8/C8*100,0)</f>
        <v>84.923928077455045</v>
      </c>
      <c r="R8" s="11"/>
    </row>
    <row r="9" spans="1:18" ht="15" customHeight="1" x14ac:dyDescent="0.35">
      <c r="A9" s="4">
        <v>3</v>
      </c>
      <c r="B9" s="5" t="s">
        <v>17</v>
      </c>
      <c r="C9" s="24">
        <v>2329</v>
      </c>
      <c r="D9" s="24">
        <v>2316</v>
      </c>
      <c r="E9" s="4">
        <v>29</v>
      </c>
      <c r="F9" s="25">
        <v>1.42</v>
      </c>
      <c r="G9" s="4">
        <v>115</v>
      </c>
      <c r="H9" s="25">
        <v>4.97</v>
      </c>
      <c r="I9" s="4">
        <v>2168</v>
      </c>
      <c r="J9" s="25">
        <v>93.61</v>
      </c>
      <c r="K9" s="4">
        <v>0</v>
      </c>
      <c r="L9" s="25">
        <v>0</v>
      </c>
      <c r="M9" s="4">
        <v>148</v>
      </c>
      <c r="N9" s="25">
        <v>6.39</v>
      </c>
      <c r="O9" s="4">
        <v>139</v>
      </c>
      <c r="P9" s="25">
        <v>6</v>
      </c>
      <c r="Q9" s="26">
        <f>IFERROR(D9/C9*100,0)</f>
        <v>99.441820523829975</v>
      </c>
      <c r="R9" s="4"/>
    </row>
    <row r="10" spans="1:18" ht="15" customHeight="1" x14ac:dyDescent="0.35">
      <c r="A10" s="11">
        <v>4</v>
      </c>
      <c r="B10" s="12" t="s">
        <v>18</v>
      </c>
      <c r="C10" s="27">
        <v>1684</v>
      </c>
      <c r="D10" s="27">
        <v>1684</v>
      </c>
      <c r="E10" s="11">
        <v>18</v>
      </c>
      <c r="F10" s="28">
        <v>1.07</v>
      </c>
      <c r="G10" s="11">
        <v>83</v>
      </c>
      <c r="H10" s="28">
        <v>4.93</v>
      </c>
      <c r="I10" s="11">
        <v>1581</v>
      </c>
      <c r="J10" s="28">
        <v>93.88</v>
      </c>
      <c r="K10" s="11">
        <v>2</v>
      </c>
      <c r="L10" s="28">
        <v>0.12</v>
      </c>
      <c r="M10" s="11">
        <v>101</v>
      </c>
      <c r="N10" s="28">
        <v>6</v>
      </c>
      <c r="O10" s="11">
        <v>66</v>
      </c>
      <c r="P10" s="28">
        <v>3.92</v>
      </c>
      <c r="Q10" s="26">
        <f>IFERROR(D10/C10*100,0)</f>
        <v>100</v>
      </c>
      <c r="R10" s="11"/>
    </row>
    <row r="11" spans="1:18" ht="15" customHeight="1" x14ac:dyDescent="0.35">
      <c r="A11" s="4">
        <v>5</v>
      </c>
      <c r="B11" s="5" t="s">
        <v>19</v>
      </c>
      <c r="C11" s="24">
        <v>1684</v>
      </c>
      <c r="D11" s="24">
        <v>1684</v>
      </c>
      <c r="E11" s="4">
        <v>25</v>
      </c>
      <c r="F11" s="25">
        <v>1.48</v>
      </c>
      <c r="G11" s="4">
        <v>83</v>
      </c>
      <c r="H11" s="25">
        <v>4.93</v>
      </c>
      <c r="I11" s="4">
        <v>1571</v>
      </c>
      <c r="J11" s="25">
        <v>93.29</v>
      </c>
      <c r="K11" s="4">
        <v>5</v>
      </c>
      <c r="L11" s="25">
        <v>0.3</v>
      </c>
      <c r="M11" s="4">
        <v>108</v>
      </c>
      <c r="N11" s="25">
        <v>6.41</v>
      </c>
      <c r="O11" s="4">
        <v>66</v>
      </c>
      <c r="P11" s="25">
        <v>3.92</v>
      </c>
      <c r="Q11" s="26">
        <v>100</v>
      </c>
      <c r="R11" s="4"/>
    </row>
    <row r="12" spans="1:18" ht="15" customHeight="1" x14ac:dyDescent="0.35">
      <c r="A12" s="11">
        <v>6</v>
      </c>
      <c r="B12" s="12" t="s">
        <v>20</v>
      </c>
      <c r="C12" s="27">
        <v>1715</v>
      </c>
      <c r="D12" s="27">
        <v>1715</v>
      </c>
      <c r="E12" s="11">
        <v>18</v>
      </c>
      <c r="F12" s="28">
        <v>1.05</v>
      </c>
      <c r="G12" s="11">
        <v>63</v>
      </c>
      <c r="H12" s="28">
        <v>3.67</v>
      </c>
      <c r="I12" s="11">
        <v>1633</v>
      </c>
      <c r="J12" s="28">
        <v>95.22</v>
      </c>
      <c r="K12" s="11">
        <v>1</v>
      </c>
      <c r="L12" s="28">
        <v>0.06</v>
      </c>
      <c r="M12" s="11">
        <v>81</v>
      </c>
      <c r="N12" s="28">
        <v>4.72</v>
      </c>
      <c r="O12" s="11">
        <v>65</v>
      </c>
      <c r="P12" s="28">
        <v>3.79</v>
      </c>
      <c r="Q12" s="26">
        <f>IFERROR(D12/C12*100,0)</f>
        <v>100</v>
      </c>
      <c r="R12" s="11"/>
    </row>
    <row r="13" spans="1:18" ht="15" customHeight="1" x14ac:dyDescent="0.35">
      <c r="A13" s="4">
        <v>7</v>
      </c>
      <c r="B13" s="5" t="s">
        <v>21</v>
      </c>
      <c r="C13" s="24">
        <v>1715</v>
      </c>
      <c r="D13" s="24">
        <v>1581</v>
      </c>
      <c r="E13" s="4">
        <v>25</v>
      </c>
      <c r="F13" s="25">
        <v>1.58</v>
      </c>
      <c r="G13" s="4">
        <v>63</v>
      </c>
      <c r="H13" s="25">
        <v>3.98</v>
      </c>
      <c r="I13" s="4">
        <v>1490</v>
      </c>
      <c r="J13" s="25">
        <v>94.24</v>
      </c>
      <c r="K13" s="4">
        <v>3</v>
      </c>
      <c r="L13" s="25">
        <v>0.19</v>
      </c>
      <c r="M13" s="4">
        <v>88</v>
      </c>
      <c r="N13" s="25">
        <v>5.56</v>
      </c>
      <c r="O13" s="4">
        <v>65</v>
      </c>
      <c r="P13" s="25">
        <v>4.1100000000000003</v>
      </c>
      <c r="Q13" s="26">
        <v>92.16</v>
      </c>
      <c r="R13" s="4"/>
    </row>
    <row r="14" spans="1:18" ht="15" customHeight="1" x14ac:dyDescent="0.35">
      <c r="A14" s="11">
        <v>8</v>
      </c>
      <c r="B14" s="12" t="s">
        <v>22</v>
      </c>
      <c r="C14" s="27">
        <v>2135</v>
      </c>
      <c r="D14" s="27">
        <v>2134</v>
      </c>
      <c r="E14" s="11">
        <v>42</v>
      </c>
      <c r="F14" s="28">
        <v>1.97</v>
      </c>
      <c r="G14" s="11">
        <v>91</v>
      </c>
      <c r="H14" s="28">
        <v>4.26</v>
      </c>
      <c r="I14" s="11">
        <v>1997</v>
      </c>
      <c r="J14" s="28">
        <v>93.58</v>
      </c>
      <c r="K14" s="11">
        <v>4</v>
      </c>
      <c r="L14" s="28">
        <v>0.19</v>
      </c>
      <c r="M14" s="11">
        <v>133</v>
      </c>
      <c r="N14" s="28">
        <v>6.23</v>
      </c>
      <c r="O14" s="11">
        <v>80</v>
      </c>
      <c r="P14" s="28">
        <v>3.75</v>
      </c>
      <c r="Q14" s="26">
        <f>IFERROR(D14/C14*100,0)</f>
        <v>99.95316159250585</v>
      </c>
      <c r="R14" s="11"/>
    </row>
    <row r="15" spans="1:18" ht="15" customHeight="1" x14ac:dyDescent="0.35">
      <c r="A15" s="4">
        <v>9</v>
      </c>
      <c r="B15" s="5" t="s">
        <v>23</v>
      </c>
      <c r="C15" s="24">
        <v>2135</v>
      </c>
      <c r="D15" s="24">
        <v>1997</v>
      </c>
      <c r="E15" s="4">
        <v>42</v>
      </c>
      <c r="F15" s="25">
        <v>2.1</v>
      </c>
      <c r="G15" s="4">
        <v>91</v>
      </c>
      <c r="H15" s="25">
        <v>4.5599999999999996</v>
      </c>
      <c r="I15" s="4">
        <v>1853</v>
      </c>
      <c r="J15" s="25">
        <v>92.79</v>
      </c>
      <c r="K15" s="4">
        <v>4</v>
      </c>
      <c r="L15" s="25">
        <v>0.2</v>
      </c>
      <c r="M15" s="4">
        <v>133</v>
      </c>
      <c r="N15" s="25">
        <v>6.66</v>
      </c>
      <c r="O15" s="4">
        <v>80</v>
      </c>
      <c r="P15" s="25">
        <v>4.01</v>
      </c>
      <c r="Q15" s="26">
        <v>93.51</v>
      </c>
      <c r="R15" s="4"/>
    </row>
    <row r="16" spans="1:18" ht="15" customHeight="1" x14ac:dyDescent="0.35">
      <c r="A16" s="11">
        <v>10</v>
      </c>
      <c r="B16" s="12" t="s">
        <v>24</v>
      </c>
      <c r="C16" s="27">
        <v>1419</v>
      </c>
      <c r="D16" s="27">
        <v>1244</v>
      </c>
      <c r="E16" s="11">
        <v>14</v>
      </c>
      <c r="F16" s="28">
        <v>1.1299999999999999</v>
      </c>
      <c r="G16" s="11">
        <v>36</v>
      </c>
      <c r="H16" s="28">
        <v>2.89</v>
      </c>
      <c r="I16" s="11">
        <v>1190</v>
      </c>
      <c r="J16" s="28">
        <v>95.66</v>
      </c>
      <c r="K16" s="11">
        <v>4</v>
      </c>
      <c r="L16" s="28">
        <v>0.32</v>
      </c>
      <c r="M16" s="11">
        <v>50</v>
      </c>
      <c r="N16" s="28">
        <v>4.0199999999999996</v>
      </c>
      <c r="O16" s="11">
        <v>47</v>
      </c>
      <c r="P16" s="28">
        <v>3.78</v>
      </c>
      <c r="Q16" s="26">
        <f>IFERROR(D16/C16*100,0)</f>
        <v>87.667371388301618</v>
      </c>
      <c r="R16" s="11"/>
    </row>
    <row r="17" spans="1:18" ht="15" customHeight="1" x14ac:dyDescent="0.35">
      <c r="A17" s="4">
        <v>11</v>
      </c>
      <c r="B17" s="5" t="s">
        <v>25</v>
      </c>
      <c r="C17" s="24">
        <v>1419</v>
      </c>
      <c r="D17" s="24">
        <v>1100</v>
      </c>
      <c r="E17" s="4">
        <v>26</v>
      </c>
      <c r="F17" s="25">
        <v>2.36</v>
      </c>
      <c r="G17" s="4">
        <v>66</v>
      </c>
      <c r="H17" s="25">
        <v>6</v>
      </c>
      <c r="I17" s="4">
        <v>1004</v>
      </c>
      <c r="J17" s="25">
        <v>91.27</v>
      </c>
      <c r="K17" s="4">
        <v>4</v>
      </c>
      <c r="L17" s="25">
        <v>0.36</v>
      </c>
      <c r="M17" s="4">
        <v>92</v>
      </c>
      <c r="N17" s="25">
        <v>8.36</v>
      </c>
      <c r="O17" s="4">
        <v>50</v>
      </c>
      <c r="P17" s="25">
        <v>4.55</v>
      </c>
      <c r="Q17" s="26">
        <v>77.52</v>
      </c>
      <c r="R17" s="4"/>
    </row>
    <row r="18" spans="1:18" ht="15" customHeight="1" x14ac:dyDescent="0.35">
      <c r="A18" s="11">
        <v>12</v>
      </c>
      <c r="B18" s="12" t="s">
        <v>26</v>
      </c>
      <c r="C18" s="27">
        <v>1333</v>
      </c>
      <c r="D18" s="27">
        <v>1170</v>
      </c>
      <c r="E18" s="11">
        <v>25</v>
      </c>
      <c r="F18" s="28">
        <v>2.14</v>
      </c>
      <c r="G18" s="11">
        <v>86</v>
      </c>
      <c r="H18" s="28">
        <v>7.35</v>
      </c>
      <c r="I18" s="11">
        <v>1055</v>
      </c>
      <c r="J18" s="28">
        <v>90.17</v>
      </c>
      <c r="K18" s="11">
        <v>4</v>
      </c>
      <c r="L18" s="28">
        <v>0.34</v>
      </c>
      <c r="M18" s="11">
        <v>111</v>
      </c>
      <c r="N18" s="28">
        <v>9.49</v>
      </c>
      <c r="O18" s="11">
        <v>47</v>
      </c>
      <c r="P18" s="28">
        <v>4.0199999999999996</v>
      </c>
      <c r="Q18" s="26">
        <v>87.77</v>
      </c>
      <c r="R18" s="11"/>
    </row>
    <row r="19" spans="1:18" ht="15" customHeight="1" x14ac:dyDescent="0.35">
      <c r="A19" s="4">
        <v>13</v>
      </c>
      <c r="B19" s="5" t="s">
        <v>27</v>
      </c>
      <c r="C19" s="24">
        <v>2945</v>
      </c>
      <c r="D19" s="24">
        <v>2945</v>
      </c>
      <c r="E19" s="4">
        <v>35</v>
      </c>
      <c r="F19" s="25">
        <v>1.19</v>
      </c>
      <c r="G19" s="4">
        <v>109</v>
      </c>
      <c r="H19" s="25">
        <v>3.7</v>
      </c>
      <c r="I19" s="4">
        <v>2739</v>
      </c>
      <c r="J19" s="25">
        <v>93.01</v>
      </c>
      <c r="K19" s="4">
        <v>62</v>
      </c>
      <c r="L19" s="25">
        <v>2.11</v>
      </c>
      <c r="M19" s="4">
        <v>144</v>
      </c>
      <c r="N19" s="25">
        <v>4.8899999999999997</v>
      </c>
      <c r="O19" s="4">
        <v>95</v>
      </c>
      <c r="P19" s="25">
        <v>3.23</v>
      </c>
      <c r="Q19" s="26">
        <f>IFERROR(D19/C19*100,0)</f>
        <v>100</v>
      </c>
      <c r="R19" s="4"/>
    </row>
    <row r="20" spans="1:18" ht="15" customHeight="1" x14ac:dyDescent="0.35">
      <c r="A20" s="11">
        <v>14</v>
      </c>
      <c r="B20" s="12" t="s">
        <v>28</v>
      </c>
      <c r="C20" s="27">
        <v>2681</v>
      </c>
      <c r="D20" s="27">
        <v>2602</v>
      </c>
      <c r="E20" s="11">
        <v>45</v>
      </c>
      <c r="F20" s="28">
        <v>1.73</v>
      </c>
      <c r="G20" s="11">
        <v>121</v>
      </c>
      <c r="H20" s="28">
        <v>4.6500000000000004</v>
      </c>
      <c r="I20" s="11">
        <v>2428</v>
      </c>
      <c r="J20" s="28">
        <v>93.31</v>
      </c>
      <c r="K20" s="11">
        <v>8</v>
      </c>
      <c r="L20" s="28">
        <v>0.31</v>
      </c>
      <c r="M20" s="11">
        <v>166</v>
      </c>
      <c r="N20" s="28">
        <v>6.38</v>
      </c>
      <c r="O20" s="11">
        <v>113</v>
      </c>
      <c r="P20" s="28">
        <v>4.34</v>
      </c>
      <c r="Q20" s="26">
        <f>IFERROR(D20/C20*100,0)</f>
        <v>97.053338306602015</v>
      </c>
      <c r="R20" s="11"/>
    </row>
    <row r="21" spans="1:18" ht="15" customHeight="1" x14ac:dyDescent="0.35">
      <c r="A21" s="4">
        <v>15</v>
      </c>
      <c r="B21" s="5" t="s">
        <v>29</v>
      </c>
      <c r="C21" s="24">
        <v>3921</v>
      </c>
      <c r="D21" s="24">
        <v>3862</v>
      </c>
      <c r="E21" s="4">
        <v>38</v>
      </c>
      <c r="F21" s="25">
        <v>0.98</v>
      </c>
      <c r="G21" s="4">
        <v>186</v>
      </c>
      <c r="H21" s="25">
        <v>4.82</v>
      </c>
      <c r="I21" s="4">
        <v>3632</v>
      </c>
      <c r="J21" s="25">
        <v>94.04</v>
      </c>
      <c r="K21" s="4">
        <v>6</v>
      </c>
      <c r="L21" s="25">
        <v>0.16</v>
      </c>
      <c r="M21" s="4">
        <v>224</v>
      </c>
      <c r="N21" s="25">
        <v>5.8</v>
      </c>
      <c r="O21" s="4">
        <v>176</v>
      </c>
      <c r="P21" s="25">
        <v>4.5599999999999996</v>
      </c>
      <c r="Q21" s="26">
        <f>IFERROR(D21/C21*100,0)</f>
        <v>98.495281815863294</v>
      </c>
      <c r="R21" s="4"/>
    </row>
    <row r="22" spans="1:18" ht="15" customHeight="1" x14ac:dyDescent="0.35">
      <c r="A22" s="11">
        <v>16</v>
      </c>
      <c r="B22" s="12" t="s">
        <v>30</v>
      </c>
      <c r="C22" s="27">
        <v>2195</v>
      </c>
      <c r="D22" s="27">
        <v>2079</v>
      </c>
      <c r="E22" s="11">
        <v>34</v>
      </c>
      <c r="F22" s="28">
        <v>1.64</v>
      </c>
      <c r="G22" s="11">
        <v>127</v>
      </c>
      <c r="H22" s="28">
        <v>6.11</v>
      </c>
      <c r="I22" s="11">
        <v>1916</v>
      </c>
      <c r="J22" s="28">
        <v>92.16</v>
      </c>
      <c r="K22" s="11">
        <v>2</v>
      </c>
      <c r="L22" s="28">
        <v>0.1</v>
      </c>
      <c r="M22" s="11">
        <v>161</v>
      </c>
      <c r="N22" s="28">
        <v>7.74</v>
      </c>
      <c r="O22" s="11">
        <v>85</v>
      </c>
      <c r="P22" s="28">
        <v>4.09</v>
      </c>
      <c r="Q22" s="26">
        <f>IFERROR(D22/C22*100,0)</f>
        <v>94.715261958997715</v>
      </c>
      <c r="R22" s="11"/>
    </row>
    <row r="23" spans="1:18" ht="15" customHeight="1" x14ac:dyDescent="0.35">
      <c r="A23" s="4">
        <v>17</v>
      </c>
      <c r="B23" s="5" t="s">
        <v>31</v>
      </c>
      <c r="C23" s="24">
        <v>2195</v>
      </c>
      <c r="D23" s="24">
        <v>1808</v>
      </c>
      <c r="E23" s="4">
        <v>27</v>
      </c>
      <c r="F23" s="25">
        <v>1.49</v>
      </c>
      <c r="G23" s="4">
        <v>114</v>
      </c>
      <c r="H23" s="25">
        <v>6.31</v>
      </c>
      <c r="I23" s="4">
        <v>1660</v>
      </c>
      <c r="J23" s="25">
        <v>91.82</v>
      </c>
      <c r="K23" s="4">
        <v>7</v>
      </c>
      <c r="L23" s="25">
        <v>0.39</v>
      </c>
      <c r="M23" s="4">
        <v>141</v>
      </c>
      <c r="N23" s="25">
        <v>7.8</v>
      </c>
      <c r="O23" s="4">
        <v>67</v>
      </c>
      <c r="P23" s="25">
        <v>3.71</v>
      </c>
      <c r="Q23" s="26">
        <v>82.37</v>
      </c>
      <c r="R23" s="4"/>
    </row>
    <row r="24" spans="1:18" ht="15" customHeight="1" x14ac:dyDescent="0.35">
      <c r="A24" s="11">
        <v>18</v>
      </c>
      <c r="B24" s="12" t="s">
        <v>32</v>
      </c>
      <c r="C24" s="27">
        <v>2069</v>
      </c>
      <c r="D24" s="27">
        <v>2062</v>
      </c>
      <c r="E24" s="11">
        <v>27</v>
      </c>
      <c r="F24" s="28">
        <v>1.31</v>
      </c>
      <c r="G24" s="11">
        <v>127</v>
      </c>
      <c r="H24" s="28">
        <v>6.16</v>
      </c>
      <c r="I24" s="11">
        <v>1906</v>
      </c>
      <c r="J24" s="28">
        <v>92.43</v>
      </c>
      <c r="K24" s="11">
        <v>2</v>
      </c>
      <c r="L24" s="28">
        <v>0.1</v>
      </c>
      <c r="M24" s="11">
        <v>154</v>
      </c>
      <c r="N24" s="28">
        <v>7.47</v>
      </c>
      <c r="O24" s="11">
        <v>97</v>
      </c>
      <c r="P24" s="28">
        <v>4.7</v>
      </c>
      <c r="Q24" s="26">
        <f>IFERROR(D24/C24*100,0)</f>
        <v>99.661672305461579</v>
      </c>
      <c r="R24" s="11"/>
    </row>
    <row r="25" spans="1:18" ht="15" customHeight="1" x14ac:dyDescent="0.35">
      <c r="A25" s="4">
        <v>19</v>
      </c>
      <c r="B25" s="5" t="s">
        <v>33</v>
      </c>
      <c r="C25" s="24">
        <v>2069</v>
      </c>
      <c r="D25" s="24">
        <v>1986</v>
      </c>
      <c r="E25" s="4">
        <v>21</v>
      </c>
      <c r="F25" s="25">
        <v>1.06</v>
      </c>
      <c r="G25" s="4">
        <v>92</v>
      </c>
      <c r="H25" s="25">
        <v>4.63</v>
      </c>
      <c r="I25" s="4">
        <v>1870</v>
      </c>
      <c r="J25" s="25">
        <v>94.16</v>
      </c>
      <c r="K25" s="4">
        <v>3</v>
      </c>
      <c r="L25" s="25">
        <v>0.15</v>
      </c>
      <c r="M25" s="4">
        <v>113</v>
      </c>
      <c r="N25" s="25">
        <v>5.69</v>
      </c>
      <c r="O25" s="4">
        <v>50</v>
      </c>
      <c r="P25" s="25">
        <v>2.52</v>
      </c>
      <c r="Q25" s="26">
        <v>95.99</v>
      </c>
      <c r="R25" s="4"/>
    </row>
    <row r="26" spans="1:18" ht="15" customHeight="1" x14ac:dyDescent="0.35">
      <c r="A26" s="11">
        <v>20</v>
      </c>
      <c r="B26" s="12" t="s">
        <v>34</v>
      </c>
      <c r="C26" s="27">
        <v>3008</v>
      </c>
      <c r="D26" s="27">
        <v>3008</v>
      </c>
      <c r="E26" s="11">
        <v>55</v>
      </c>
      <c r="F26" s="28">
        <v>1.83</v>
      </c>
      <c r="G26" s="11">
        <v>101</v>
      </c>
      <c r="H26" s="28">
        <v>3.36</v>
      </c>
      <c r="I26" s="11">
        <v>2852</v>
      </c>
      <c r="J26" s="28">
        <v>94.81</v>
      </c>
      <c r="K26" s="11">
        <v>0</v>
      </c>
      <c r="L26" s="28">
        <v>0</v>
      </c>
      <c r="M26" s="11">
        <v>156</v>
      </c>
      <c r="N26" s="28">
        <v>5.19</v>
      </c>
      <c r="O26" s="11">
        <v>130</v>
      </c>
      <c r="P26" s="28">
        <v>4.32</v>
      </c>
      <c r="Q26" s="26">
        <f>IFERROR(D26/C26*100,0)</f>
        <v>100</v>
      </c>
      <c r="R26" s="11"/>
    </row>
    <row r="27" spans="1:18" ht="15" customHeight="1" x14ac:dyDescent="0.35">
      <c r="A27" s="4">
        <v>21</v>
      </c>
      <c r="B27" s="5" t="s">
        <v>35</v>
      </c>
      <c r="C27" s="24">
        <v>1134</v>
      </c>
      <c r="D27" s="24">
        <v>1128</v>
      </c>
      <c r="E27" s="4">
        <v>16</v>
      </c>
      <c r="F27" s="25">
        <v>1.42</v>
      </c>
      <c r="G27" s="4">
        <v>25</v>
      </c>
      <c r="H27" s="25">
        <v>2.2200000000000002</v>
      </c>
      <c r="I27" s="4">
        <v>1087</v>
      </c>
      <c r="J27" s="25">
        <v>96.37</v>
      </c>
      <c r="K27" s="4">
        <v>0</v>
      </c>
      <c r="L27" s="25">
        <v>0</v>
      </c>
      <c r="M27" s="4">
        <v>41</v>
      </c>
      <c r="N27" s="25">
        <v>3.63</v>
      </c>
      <c r="O27" s="4">
        <v>38</v>
      </c>
      <c r="P27" s="25">
        <v>3.37</v>
      </c>
      <c r="Q27" s="26">
        <f>IFERROR(D27/C27*100,0)</f>
        <v>99.470899470899468</v>
      </c>
      <c r="R27" s="4"/>
    </row>
    <row r="28" spans="1:18" ht="15" customHeight="1" x14ac:dyDescent="0.35">
      <c r="A28" s="11">
        <v>22</v>
      </c>
      <c r="B28" s="12" t="s">
        <v>36</v>
      </c>
      <c r="C28" s="27">
        <v>1134</v>
      </c>
      <c r="D28" s="27">
        <v>1128</v>
      </c>
      <c r="E28" s="11">
        <v>16</v>
      </c>
      <c r="F28" s="28">
        <v>1.42</v>
      </c>
      <c r="G28" s="11">
        <v>25</v>
      </c>
      <c r="H28" s="28">
        <v>2.2200000000000002</v>
      </c>
      <c r="I28" s="11">
        <v>1087</v>
      </c>
      <c r="J28" s="28">
        <v>96.37</v>
      </c>
      <c r="K28" s="11">
        <v>0</v>
      </c>
      <c r="L28" s="28">
        <v>0</v>
      </c>
      <c r="M28" s="11">
        <v>41</v>
      </c>
      <c r="N28" s="28">
        <v>3.63</v>
      </c>
      <c r="O28" s="11">
        <v>38</v>
      </c>
      <c r="P28" s="28">
        <v>3.37</v>
      </c>
      <c r="Q28" s="26">
        <v>99.47</v>
      </c>
      <c r="R28" s="11"/>
    </row>
    <row r="29" spans="1:18" ht="15" customHeight="1" x14ac:dyDescent="0.35">
      <c r="A29" s="4">
        <v>23</v>
      </c>
      <c r="B29" s="5" t="s">
        <v>37</v>
      </c>
      <c r="C29" s="24">
        <v>1854</v>
      </c>
      <c r="D29" s="24">
        <v>1848</v>
      </c>
      <c r="E29" s="4">
        <v>50</v>
      </c>
      <c r="F29" s="25">
        <v>2.71</v>
      </c>
      <c r="G29" s="4">
        <v>143</v>
      </c>
      <c r="H29" s="25">
        <v>7.74</v>
      </c>
      <c r="I29" s="4">
        <v>1655</v>
      </c>
      <c r="J29" s="25">
        <v>89.56</v>
      </c>
      <c r="K29" s="4">
        <v>0</v>
      </c>
      <c r="L29" s="25">
        <v>0</v>
      </c>
      <c r="M29" s="4">
        <v>193</v>
      </c>
      <c r="N29" s="25">
        <v>10.44</v>
      </c>
      <c r="O29" s="4">
        <v>109</v>
      </c>
      <c r="P29" s="25">
        <v>5.9</v>
      </c>
      <c r="Q29" s="26">
        <f>IFERROR(D29/C29*100,0)</f>
        <v>99.676375404530745</v>
      </c>
      <c r="R29" s="4"/>
    </row>
    <row r="30" spans="1:18" ht="15" customHeight="1" x14ac:dyDescent="0.35">
      <c r="A30" s="11">
        <v>24</v>
      </c>
      <c r="B30" s="12" t="s">
        <v>38</v>
      </c>
      <c r="C30" s="27">
        <v>1935</v>
      </c>
      <c r="D30" s="27">
        <v>1905</v>
      </c>
      <c r="E30" s="11">
        <v>34</v>
      </c>
      <c r="F30" s="28">
        <v>1.78</v>
      </c>
      <c r="G30" s="11">
        <v>170</v>
      </c>
      <c r="H30" s="28">
        <v>8.92</v>
      </c>
      <c r="I30" s="11">
        <v>1701</v>
      </c>
      <c r="J30" s="28">
        <v>89.29</v>
      </c>
      <c r="K30" s="11">
        <v>0</v>
      </c>
      <c r="L30" s="28">
        <v>0</v>
      </c>
      <c r="M30" s="11">
        <v>204</v>
      </c>
      <c r="N30" s="28">
        <v>10.71</v>
      </c>
      <c r="O30" s="11">
        <v>124</v>
      </c>
      <c r="P30" s="28">
        <v>6.51</v>
      </c>
      <c r="Q30" s="26">
        <f>IFERROR(D30/C30*100,0)</f>
        <v>98.449612403100772</v>
      </c>
      <c r="R30" s="11"/>
    </row>
    <row r="31" spans="1:18" ht="15" customHeight="1" x14ac:dyDescent="0.35">
      <c r="A31" s="4">
        <v>25</v>
      </c>
      <c r="B31" s="5" t="s">
        <v>39</v>
      </c>
      <c r="C31" s="24">
        <v>1690</v>
      </c>
      <c r="D31" s="24">
        <v>1690</v>
      </c>
      <c r="E31" s="4">
        <v>22</v>
      </c>
      <c r="F31" s="25">
        <v>1.3</v>
      </c>
      <c r="G31" s="4">
        <v>43</v>
      </c>
      <c r="H31" s="25">
        <v>2.54</v>
      </c>
      <c r="I31" s="4">
        <v>1624</v>
      </c>
      <c r="J31" s="25">
        <v>96.09</v>
      </c>
      <c r="K31" s="4">
        <v>1</v>
      </c>
      <c r="L31" s="25">
        <v>0.06</v>
      </c>
      <c r="M31" s="4">
        <v>65</v>
      </c>
      <c r="N31" s="25">
        <v>3.85</v>
      </c>
      <c r="O31" s="4">
        <v>61</v>
      </c>
      <c r="P31" s="25">
        <v>3.61</v>
      </c>
      <c r="Q31" s="26">
        <f>IFERROR(D31/C31*100,0)</f>
        <v>100</v>
      </c>
      <c r="R31" s="4"/>
    </row>
    <row r="32" spans="1:18" ht="21.75" customHeight="1" x14ac:dyDescent="0.35">
      <c r="A32" s="40" t="s">
        <v>40</v>
      </c>
      <c r="B32" s="39"/>
      <c r="C32" s="29">
        <f>SUM(C7:C31)</f>
        <v>49264</v>
      </c>
      <c r="D32" s="29">
        <f>SUM(D7:D31)</f>
        <v>47324</v>
      </c>
      <c r="E32" s="29">
        <f>SUM(E7:E31)</f>
        <v>704</v>
      </c>
      <c r="F32" s="30">
        <f>IFERROR(E32/D32*100,0)</f>
        <v>1.4876172766460991</v>
      </c>
      <c r="G32" s="29">
        <f>SUM(G7:G31)</f>
        <v>2268</v>
      </c>
      <c r="H32" s="30">
        <f>IFERROR(G32/D32*100,0)</f>
        <v>4.7924942946496492</v>
      </c>
      <c r="I32" s="29">
        <f>SUM(I7:I31)</f>
        <v>44167</v>
      </c>
      <c r="J32" s="30">
        <f>IFERROR(I32/D32*100,0)</f>
        <v>93.328966275040145</v>
      </c>
      <c r="K32" s="29">
        <f>SUM(K7:K31)</f>
        <v>122</v>
      </c>
      <c r="L32" s="30">
        <f>IFERROR(K32/D32*100,0)</f>
        <v>0.257797312146057</v>
      </c>
      <c r="M32" s="29">
        <f>SUM(M7:M31)</f>
        <v>3028</v>
      </c>
      <c r="N32" s="30">
        <f>IFERROR(M32/D32*100,0)</f>
        <v>6.3984447637562338</v>
      </c>
      <c r="O32" s="29">
        <f>SUM(O7:O31)</f>
        <v>2020</v>
      </c>
      <c r="P32" s="30">
        <f>IFERROR(O32/D32*100,0)</f>
        <v>4.2684472994675007</v>
      </c>
      <c r="Q32" s="17">
        <f>IFERROR(D32/C32*100,0)</f>
        <v>96.062033127638841</v>
      </c>
      <c r="R32" s="31"/>
    </row>
    <row r="34" spans="1:18" ht="15" customHeight="1" x14ac:dyDescent="0.35">
      <c r="A34" s="37" t="s">
        <v>41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 ht="15" customHeight="1" x14ac:dyDescent="0.35">
      <c r="A35" s="34" t="s">
        <v>57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 ht="15" customHeight="1" x14ac:dyDescent="0.35">
      <c r="A36" s="34" t="s">
        <v>58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ht="15" customHeight="1" x14ac:dyDescent="0.35">
      <c r="A37" s="34" t="s">
        <v>59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</sheetData>
  <mergeCells count="20">
    <mergeCell ref="A1:R1"/>
    <mergeCell ref="A37:R37"/>
    <mergeCell ref="A4:A6"/>
    <mergeCell ref="B4:B6"/>
    <mergeCell ref="O5:P5"/>
    <mergeCell ref="A2:R2"/>
    <mergeCell ref="A35:R35"/>
    <mergeCell ref="R4:R6"/>
    <mergeCell ref="G5:H5"/>
    <mergeCell ref="A32:B32"/>
    <mergeCell ref="I5:J5"/>
    <mergeCell ref="C4:C6"/>
    <mergeCell ref="A34:R34"/>
    <mergeCell ref="Q4:Q6"/>
    <mergeCell ref="A36:R36"/>
    <mergeCell ref="D4:D6"/>
    <mergeCell ref="E4:P4"/>
    <mergeCell ref="E5:F5"/>
    <mergeCell ref="K5:L5"/>
    <mergeCell ref="M5:N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Rekapitulasi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S I</cp:lastModifiedBy>
  <cp:revision>0</cp:revision>
  <dcterms:created xsi:type="dcterms:W3CDTF">2026-05-09T07:14:09Z</dcterms:created>
  <dcterms:modified xsi:type="dcterms:W3CDTF">2026-05-30T06:13:04Z</dcterms:modified>
  <dc:language>en-US</dc:language>
</cp:coreProperties>
</file>