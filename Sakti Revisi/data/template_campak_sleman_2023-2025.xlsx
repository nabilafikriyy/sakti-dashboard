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Kuliah\Sem 6\Pemograman Web 6A\Sakti Revisi\data\"/>
    </mc:Choice>
  </mc:AlternateContent>
  <xr:revisionPtr revIDLastSave="0" documentId="13_ncr:1_{CFF00DB1-B579-4CE9-BDF2-92C378291F1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ekapitulasi" sheetId="1" r:id="rId1"/>
    <sheet name="Kasus 2023" sheetId="2" r:id="rId2"/>
    <sheet name="Kasus 2024" sheetId="4" r:id="rId3"/>
    <sheet name="Kasus 2025" sheetId="6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8" i="4" l="1"/>
  <c r="G27" i="1"/>
  <c r="J11" i="4"/>
  <c r="J9" i="4"/>
  <c r="J22" i="2"/>
  <c r="P32" i="6"/>
  <c r="O32" i="6"/>
  <c r="N32" i="6"/>
  <c r="M32" i="6"/>
  <c r="L32" i="6"/>
  <c r="K32" i="6"/>
  <c r="I32" i="6"/>
  <c r="H32" i="6"/>
  <c r="G32" i="6"/>
  <c r="F32" i="6"/>
  <c r="E32" i="6"/>
  <c r="D32" i="6"/>
  <c r="Q31" i="6"/>
  <c r="J30" i="1" s="1"/>
  <c r="J31" i="6"/>
  <c r="I30" i="1" s="1"/>
  <c r="Q30" i="6"/>
  <c r="J29" i="1" s="1"/>
  <c r="J30" i="6"/>
  <c r="Q29" i="6"/>
  <c r="J28" i="1" s="1"/>
  <c r="J29" i="6"/>
  <c r="I28" i="1" s="1"/>
  <c r="Q28" i="6"/>
  <c r="J28" i="6"/>
  <c r="I27" i="1" s="1"/>
  <c r="Q27" i="6"/>
  <c r="J26" i="1" s="1"/>
  <c r="J27" i="6"/>
  <c r="Q26" i="6"/>
  <c r="J25" i="1" s="1"/>
  <c r="J26" i="6"/>
  <c r="I25" i="1" s="1"/>
  <c r="Q25" i="6"/>
  <c r="J24" i="1" s="1"/>
  <c r="J25" i="6"/>
  <c r="I24" i="1" s="1"/>
  <c r="Q24" i="6"/>
  <c r="J23" i="1" s="1"/>
  <c r="J24" i="6"/>
  <c r="I23" i="1" s="1"/>
  <c r="Q23" i="6"/>
  <c r="J22" i="1" s="1"/>
  <c r="J23" i="6"/>
  <c r="Q22" i="6"/>
  <c r="J21" i="1" s="1"/>
  <c r="J22" i="6"/>
  <c r="I21" i="1" s="1"/>
  <c r="Q21" i="6"/>
  <c r="J20" i="1" s="1"/>
  <c r="J21" i="6"/>
  <c r="I20" i="1" s="1"/>
  <c r="Q20" i="6"/>
  <c r="J19" i="1" s="1"/>
  <c r="J20" i="6"/>
  <c r="I19" i="1" s="1"/>
  <c r="Q19" i="6"/>
  <c r="J19" i="6"/>
  <c r="I18" i="1" s="1"/>
  <c r="Q18" i="6"/>
  <c r="J17" i="1" s="1"/>
  <c r="J18" i="6"/>
  <c r="I17" i="1" s="1"/>
  <c r="Q17" i="6"/>
  <c r="J16" i="1" s="1"/>
  <c r="J17" i="6"/>
  <c r="I16" i="1" s="1"/>
  <c r="Q16" i="6"/>
  <c r="J15" i="1" s="1"/>
  <c r="J16" i="6"/>
  <c r="I15" i="1" s="1"/>
  <c r="Q15" i="6"/>
  <c r="J14" i="1" s="1"/>
  <c r="J15" i="6"/>
  <c r="Q14" i="6"/>
  <c r="J13" i="1" s="1"/>
  <c r="J14" i="6"/>
  <c r="I13" i="1" s="1"/>
  <c r="Q13" i="6"/>
  <c r="J12" i="1" s="1"/>
  <c r="J13" i="6"/>
  <c r="I12" i="1" s="1"/>
  <c r="Q12" i="6"/>
  <c r="J11" i="1" s="1"/>
  <c r="J12" i="6"/>
  <c r="I11" i="1" s="1"/>
  <c r="Q11" i="6"/>
  <c r="J10" i="1" s="1"/>
  <c r="J11" i="6"/>
  <c r="I10" i="1" s="1"/>
  <c r="Q10" i="6"/>
  <c r="J9" i="1" s="1"/>
  <c r="J10" i="6"/>
  <c r="I9" i="1" s="1"/>
  <c r="Q9" i="6"/>
  <c r="J8" i="1" s="1"/>
  <c r="J9" i="6"/>
  <c r="I8" i="1" s="1"/>
  <c r="Q8" i="6"/>
  <c r="J7" i="1" s="1"/>
  <c r="J8" i="6"/>
  <c r="Q7" i="6"/>
  <c r="J6" i="1" s="1"/>
  <c r="J7" i="6"/>
  <c r="P32" i="4"/>
  <c r="O32" i="4"/>
  <c r="N32" i="4"/>
  <c r="M32" i="4"/>
  <c r="L32" i="4"/>
  <c r="K32" i="4"/>
  <c r="I32" i="4"/>
  <c r="H32" i="4"/>
  <c r="G32" i="4"/>
  <c r="F32" i="4"/>
  <c r="E32" i="4"/>
  <c r="D32" i="4"/>
  <c r="Q31" i="4"/>
  <c r="G30" i="1" s="1"/>
  <c r="J31" i="4"/>
  <c r="Q30" i="4"/>
  <c r="J30" i="4"/>
  <c r="Q29" i="4"/>
  <c r="G28" i="1" s="1"/>
  <c r="J29" i="4"/>
  <c r="F28" i="1" s="1"/>
  <c r="J28" i="4"/>
  <c r="Q27" i="4"/>
  <c r="G26" i="1" s="1"/>
  <c r="J27" i="4"/>
  <c r="F26" i="1" s="1"/>
  <c r="Q26" i="4"/>
  <c r="G25" i="1" s="1"/>
  <c r="J26" i="4"/>
  <c r="F25" i="1" s="1"/>
  <c r="Q25" i="4"/>
  <c r="G24" i="1" s="1"/>
  <c r="J25" i="4"/>
  <c r="F24" i="1" s="1"/>
  <c r="Q24" i="4"/>
  <c r="G23" i="1" s="1"/>
  <c r="J24" i="4"/>
  <c r="Q23" i="4"/>
  <c r="J23" i="4"/>
  <c r="Q22" i="4"/>
  <c r="G21" i="1" s="1"/>
  <c r="J22" i="4"/>
  <c r="F21" i="1" s="1"/>
  <c r="Q21" i="4"/>
  <c r="G20" i="1" s="1"/>
  <c r="J21" i="4"/>
  <c r="F20" i="1" s="1"/>
  <c r="Q20" i="4"/>
  <c r="G19" i="1" s="1"/>
  <c r="J20" i="4"/>
  <c r="Q19" i="4"/>
  <c r="G18" i="1" s="1"/>
  <c r="J19" i="4"/>
  <c r="F18" i="1" s="1"/>
  <c r="Q18" i="4"/>
  <c r="G17" i="1" s="1"/>
  <c r="J18" i="4"/>
  <c r="F17" i="1" s="1"/>
  <c r="Q17" i="4"/>
  <c r="G16" i="1" s="1"/>
  <c r="J17" i="4"/>
  <c r="F16" i="1" s="1"/>
  <c r="Q16" i="4"/>
  <c r="J16" i="4"/>
  <c r="F15" i="1" s="1"/>
  <c r="Q15" i="4"/>
  <c r="G14" i="1" s="1"/>
  <c r="J15" i="4"/>
  <c r="Q14" i="4"/>
  <c r="G13" i="1" s="1"/>
  <c r="J14" i="4"/>
  <c r="F13" i="1" s="1"/>
  <c r="Q13" i="4"/>
  <c r="G12" i="1" s="1"/>
  <c r="J13" i="4"/>
  <c r="F12" i="1" s="1"/>
  <c r="Q12" i="4"/>
  <c r="G11" i="1" s="1"/>
  <c r="J12" i="4"/>
  <c r="Q11" i="4"/>
  <c r="G10" i="1" s="1"/>
  <c r="F10" i="1"/>
  <c r="Q10" i="4"/>
  <c r="G9" i="1" s="1"/>
  <c r="J10" i="4"/>
  <c r="F9" i="1" s="1"/>
  <c r="Q9" i="4"/>
  <c r="G8" i="1" s="1"/>
  <c r="F8" i="1"/>
  <c r="Q8" i="4"/>
  <c r="J8" i="4"/>
  <c r="R8" i="4" s="1"/>
  <c r="Q7" i="4"/>
  <c r="G6" i="1" s="1"/>
  <c r="J7" i="4"/>
  <c r="F6" i="1" s="1"/>
  <c r="P32" i="2"/>
  <c r="O32" i="2"/>
  <c r="N32" i="2"/>
  <c r="M32" i="2"/>
  <c r="L32" i="2"/>
  <c r="K32" i="2"/>
  <c r="I32" i="2"/>
  <c r="H32" i="2"/>
  <c r="G32" i="2"/>
  <c r="F32" i="2"/>
  <c r="E32" i="2"/>
  <c r="D32" i="2"/>
  <c r="Q31" i="2"/>
  <c r="D30" i="1" s="1"/>
  <c r="J31" i="2"/>
  <c r="C30" i="1" s="1"/>
  <c r="Q30" i="2"/>
  <c r="D29" i="1" s="1"/>
  <c r="J30" i="2"/>
  <c r="C29" i="1" s="1"/>
  <c r="Q29" i="2"/>
  <c r="D28" i="1" s="1"/>
  <c r="J29" i="2"/>
  <c r="Q28" i="2"/>
  <c r="D27" i="1" s="1"/>
  <c r="J28" i="2"/>
  <c r="C27" i="1" s="1"/>
  <c r="Q27" i="2"/>
  <c r="D26" i="1" s="1"/>
  <c r="J27" i="2"/>
  <c r="C26" i="1" s="1"/>
  <c r="Q26" i="2"/>
  <c r="D25" i="1" s="1"/>
  <c r="J26" i="2"/>
  <c r="C25" i="1" s="1"/>
  <c r="Q25" i="2"/>
  <c r="D24" i="1" s="1"/>
  <c r="J25" i="2"/>
  <c r="Q24" i="2"/>
  <c r="D23" i="1" s="1"/>
  <c r="J24" i="2"/>
  <c r="C23" i="1" s="1"/>
  <c r="Q23" i="2"/>
  <c r="D22" i="1" s="1"/>
  <c r="J23" i="2"/>
  <c r="C22" i="1" s="1"/>
  <c r="Q22" i="2"/>
  <c r="D21" i="1" s="1"/>
  <c r="C21" i="1"/>
  <c r="Q21" i="2"/>
  <c r="J21" i="2"/>
  <c r="C20" i="1" s="1"/>
  <c r="Q20" i="2"/>
  <c r="D19" i="1" s="1"/>
  <c r="J20" i="2"/>
  <c r="C19" i="1" s="1"/>
  <c r="Q19" i="2"/>
  <c r="D18" i="1" s="1"/>
  <c r="J19" i="2"/>
  <c r="C18" i="1" s="1"/>
  <c r="Q18" i="2"/>
  <c r="D17" i="1" s="1"/>
  <c r="J18" i="2"/>
  <c r="Q17" i="2"/>
  <c r="D16" i="1" s="1"/>
  <c r="J17" i="2"/>
  <c r="Q16" i="2"/>
  <c r="D15" i="1" s="1"/>
  <c r="J16" i="2"/>
  <c r="Q15" i="2"/>
  <c r="D14" i="1" s="1"/>
  <c r="J15" i="2"/>
  <c r="C14" i="1" s="1"/>
  <c r="Q14" i="2"/>
  <c r="D13" i="1" s="1"/>
  <c r="J14" i="2"/>
  <c r="C13" i="1" s="1"/>
  <c r="Q13" i="2"/>
  <c r="D12" i="1" s="1"/>
  <c r="J13" i="2"/>
  <c r="C12" i="1" s="1"/>
  <c r="Q12" i="2"/>
  <c r="D11" i="1" s="1"/>
  <c r="J12" i="2"/>
  <c r="C11" i="1" s="1"/>
  <c r="Q11" i="2"/>
  <c r="J11" i="2"/>
  <c r="Q10" i="2"/>
  <c r="D9" i="1" s="1"/>
  <c r="J10" i="2"/>
  <c r="C9" i="1" s="1"/>
  <c r="Q9" i="2"/>
  <c r="D8" i="1" s="1"/>
  <c r="J9" i="2"/>
  <c r="C8" i="1" s="1"/>
  <c r="Q8" i="2"/>
  <c r="D7" i="1" s="1"/>
  <c r="J8" i="2"/>
  <c r="Q7" i="2"/>
  <c r="D6" i="1" s="1"/>
  <c r="J7" i="2"/>
  <c r="G29" i="1"/>
  <c r="F29" i="1"/>
  <c r="I26" i="1"/>
  <c r="C24" i="1"/>
  <c r="I22" i="1"/>
  <c r="G22" i="1"/>
  <c r="F22" i="1"/>
  <c r="D20" i="1"/>
  <c r="F19" i="1"/>
  <c r="J18" i="1"/>
  <c r="C17" i="1"/>
  <c r="G15" i="1"/>
  <c r="D10" i="1"/>
  <c r="C10" i="1"/>
  <c r="G7" i="1"/>
  <c r="F7" i="1"/>
  <c r="H7" i="1" s="1"/>
  <c r="C7" i="1"/>
  <c r="R30" i="6" l="1"/>
  <c r="R28" i="6"/>
  <c r="R22" i="6"/>
  <c r="R19" i="6"/>
  <c r="K24" i="1"/>
  <c r="K20" i="1"/>
  <c r="R23" i="6"/>
  <c r="R27" i="6"/>
  <c r="R31" i="6"/>
  <c r="K21" i="1"/>
  <c r="R29" i="6"/>
  <c r="I29" i="1"/>
  <c r="K29" i="1" s="1"/>
  <c r="K30" i="1"/>
  <c r="R20" i="6"/>
  <c r="K18" i="1"/>
  <c r="R21" i="6"/>
  <c r="R24" i="6"/>
  <c r="K25" i="1"/>
  <c r="K26" i="1"/>
  <c r="K22" i="1"/>
  <c r="R26" i="6"/>
  <c r="K23" i="1"/>
  <c r="K19" i="1"/>
  <c r="R25" i="6"/>
  <c r="K28" i="1"/>
  <c r="K17" i="1"/>
  <c r="R18" i="6"/>
  <c r="K16" i="1"/>
  <c r="R17" i="6"/>
  <c r="R16" i="6"/>
  <c r="K15" i="1"/>
  <c r="R15" i="6"/>
  <c r="I14" i="1"/>
  <c r="K14" i="1" s="1"/>
  <c r="R14" i="6"/>
  <c r="K13" i="1"/>
  <c r="K12" i="1"/>
  <c r="R13" i="6"/>
  <c r="K11" i="1"/>
  <c r="R12" i="6"/>
  <c r="R11" i="6"/>
  <c r="K10" i="1"/>
  <c r="K9" i="1"/>
  <c r="R10" i="6"/>
  <c r="K8" i="1"/>
  <c r="R9" i="6"/>
  <c r="R8" i="6"/>
  <c r="J32" i="6"/>
  <c r="I7" i="1"/>
  <c r="K7" i="1" s="1"/>
  <c r="R7" i="6"/>
  <c r="I6" i="1"/>
  <c r="R31" i="4"/>
  <c r="F30" i="1"/>
  <c r="H30" i="1"/>
  <c r="H29" i="1"/>
  <c r="R30" i="4"/>
  <c r="R29" i="4"/>
  <c r="H28" i="1"/>
  <c r="R28" i="4"/>
  <c r="F27" i="1"/>
  <c r="H27" i="1" s="1"/>
  <c r="R27" i="4"/>
  <c r="H26" i="1"/>
  <c r="H25" i="1"/>
  <c r="R26" i="4"/>
  <c r="H24" i="1"/>
  <c r="R25" i="4"/>
  <c r="R24" i="4"/>
  <c r="F23" i="1"/>
  <c r="H23" i="1" s="1"/>
  <c r="R23" i="4"/>
  <c r="H22" i="1"/>
  <c r="H21" i="1"/>
  <c r="R22" i="4"/>
  <c r="H20" i="1"/>
  <c r="R21" i="4"/>
  <c r="H19" i="1"/>
  <c r="R20" i="4"/>
  <c r="R19" i="4"/>
  <c r="H18" i="1"/>
  <c r="R18" i="4"/>
  <c r="H17" i="1"/>
  <c r="R17" i="4"/>
  <c r="H16" i="1"/>
  <c r="H15" i="1"/>
  <c r="R16" i="4"/>
  <c r="R15" i="4"/>
  <c r="F14" i="1"/>
  <c r="H14" i="1"/>
  <c r="R14" i="4"/>
  <c r="H13" i="1"/>
  <c r="H12" i="1"/>
  <c r="R13" i="4"/>
  <c r="R12" i="4"/>
  <c r="F11" i="1"/>
  <c r="H11" i="1" s="1"/>
  <c r="R11" i="4"/>
  <c r="H10" i="1"/>
  <c r="R10" i="4"/>
  <c r="H9" i="1"/>
  <c r="R9" i="4"/>
  <c r="H8" i="1"/>
  <c r="G31" i="1"/>
  <c r="R7" i="4"/>
  <c r="J32" i="4"/>
  <c r="E29" i="1"/>
  <c r="R30" i="2"/>
  <c r="R29" i="2"/>
  <c r="C28" i="1"/>
  <c r="E28" i="1" s="1"/>
  <c r="R28" i="2"/>
  <c r="E27" i="1"/>
  <c r="E26" i="1"/>
  <c r="R27" i="2"/>
  <c r="R26" i="2"/>
  <c r="E25" i="1"/>
  <c r="R25" i="2"/>
  <c r="E24" i="1"/>
  <c r="R24" i="2"/>
  <c r="E23" i="1"/>
  <c r="E22" i="1"/>
  <c r="R23" i="2"/>
  <c r="E21" i="1"/>
  <c r="R22" i="2"/>
  <c r="R21" i="2"/>
  <c r="E20" i="1"/>
  <c r="E19" i="1"/>
  <c r="R20" i="2"/>
  <c r="E18" i="1"/>
  <c r="R19" i="2"/>
  <c r="E17" i="1"/>
  <c r="R18" i="2"/>
  <c r="R17" i="2"/>
  <c r="C16" i="1"/>
  <c r="E16" i="1" s="1"/>
  <c r="R16" i="2"/>
  <c r="C15" i="1"/>
  <c r="E15" i="1" s="1"/>
  <c r="E14" i="1"/>
  <c r="R15" i="2"/>
  <c r="E13" i="1"/>
  <c r="R14" i="2"/>
  <c r="E12" i="1"/>
  <c r="R13" i="2"/>
  <c r="R12" i="2"/>
  <c r="E11" i="1"/>
  <c r="E10" i="1"/>
  <c r="R11" i="2"/>
  <c r="R10" i="2"/>
  <c r="E9" i="1"/>
  <c r="R9" i="2"/>
  <c r="E8" i="1"/>
  <c r="R8" i="2"/>
  <c r="D31" i="1"/>
  <c r="J32" i="2"/>
  <c r="E7" i="1"/>
  <c r="C6" i="1"/>
  <c r="E6" i="1" s="1"/>
  <c r="R7" i="2"/>
  <c r="E30" i="1"/>
  <c r="J27" i="1"/>
  <c r="K27" i="1" s="1"/>
  <c r="R31" i="2"/>
  <c r="H6" i="1"/>
  <c r="I31" i="1" l="1"/>
  <c r="K6" i="1"/>
  <c r="F31" i="1"/>
  <c r="H31" i="1" s="1"/>
  <c r="C31" i="1"/>
  <c r="E31" i="1" s="1"/>
  <c r="J31" i="1"/>
  <c r="K31" i="1" l="1"/>
  <c r="Q32" i="6"/>
  <c r="Q32" i="4"/>
  <c r="Q32" i="2"/>
</calcChain>
</file>

<file path=xl/sharedStrings.xml><?xml version="1.0" encoding="utf-8"?>
<sst xmlns="http://schemas.openxmlformats.org/spreadsheetml/2006/main" count="282" uniqueCount="65">
  <si>
    <t>REKAPITULASI KASUS CAMPAK
KABUPATEN SLEMAN TAHUN 2023–2025</t>
  </si>
  <si>
    <t>Sumber: Dinas Kesehatan Kabupaten Sleman</t>
  </si>
  <si>
    <t>NO</t>
  </si>
  <si>
    <t>PUSKESMAS</t>
  </si>
  <si>
    <t>TAHUN 2023</t>
  </si>
  <si>
    <t>TAHUN 2024</t>
  </si>
  <si>
    <t>TAHUN 2025</t>
  </si>
  <si>
    <t>SUSPEK</t>
  </si>
  <si>
    <t>POSITIF</t>
  </si>
  <si>
    <t>POS. RATE
(%)</t>
  </si>
  <si>
    <t>GAMPING I</t>
  </si>
  <si>
    <t>GAMPING 2</t>
  </si>
  <si>
    <t>GODEAN I</t>
  </si>
  <si>
    <t>GODEAN 2</t>
  </si>
  <si>
    <t>MOYUDAN</t>
  </si>
  <si>
    <t>MINGGIR</t>
  </si>
  <si>
    <t>SEYEGAN</t>
  </si>
  <si>
    <t>MLATI I</t>
  </si>
  <si>
    <t>MLATI 2</t>
  </si>
  <si>
    <t>DEPOK I</t>
  </si>
  <si>
    <t>DEPOK 2</t>
  </si>
  <si>
    <t>DEPOK 3</t>
  </si>
  <si>
    <t>BERBAH</t>
  </si>
  <si>
    <t>PRAMBANAN</t>
  </si>
  <si>
    <t>KALASAN</t>
  </si>
  <si>
    <t>NGEMPLAK I</t>
  </si>
  <si>
    <t>NGEMPLAK 2</t>
  </si>
  <si>
    <t>NGAGLIK 1</t>
  </si>
  <si>
    <t>NGAGLIK 2</t>
  </si>
  <si>
    <t>SLEMAN</t>
  </si>
  <si>
    <t>TEMPEL 1</t>
  </si>
  <si>
    <t>TEMPEL 2</t>
  </si>
  <si>
    <t>TURI</t>
  </si>
  <si>
    <t>PAKEM</t>
  </si>
  <si>
    <t>CANGKRINGAN</t>
  </si>
  <si>
    <t>TOTAL KABUPATEN</t>
  </si>
  <si>
    <t>DATA KASUS CAMPAK (MEASLES)
KABUPATEN SLEMAN TAHUN 2023</t>
  </si>
  <si>
    <t>KAPANEWON</t>
  </si>
  <si>
    <t>KASUS SUSPEK</t>
  </si>
  <si>
    <t>KASUS POSITIF (KONFIRMASI LAB)</t>
  </si>
  <si>
    <t>POSITIVITY
RATE (%)</t>
  </si>
  <si>
    <t>KELOMPOK UMUR (TAHUN)</t>
  </si>
  <si>
    <t>TOTAL
SUSPEK</t>
  </si>
  <si>
    <t>TOTAL
POSITIF</t>
  </si>
  <si>
    <t>&lt;1</t>
  </si>
  <si>
    <t>1-4</t>
  </si>
  <si>
    <t>5-9</t>
  </si>
  <si>
    <t>10-14</t>
  </si>
  <si>
    <t>15-19</t>
  </si>
  <si>
    <t>≥20</t>
  </si>
  <si>
    <t>GAMPING</t>
  </si>
  <si>
    <t>GODEAN</t>
  </si>
  <si>
    <t>MLATI</t>
  </si>
  <si>
    <t>DEPOK</t>
  </si>
  <si>
    <t>NGEMPLAK</t>
  </si>
  <si>
    <t>NGAGLIK</t>
  </si>
  <si>
    <t>TEMPEL</t>
  </si>
  <si>
    <t>Keterangan:</t>
  </si>
  <si>
    <t>* Kasus Suspek: demam ≥38°C + ruam makulopapular + batuk/pilek/konjungtivitis</t>
  </si>
  <si>
    <t>* Kasus Positif: suspek yang dikonfirmasi melalui pemeriksaan laboratorium (IgM+)</t>
  </si>
  <si>
    <t>* Positivity Rate = (Total Positif / Total Suspek) × 100%</t>
  </si>
  <si>
    <t>* Kelompok umur mengikuti standar klasifikasi Kemenkes RI</t>
  </si>
  <si>
    <t>DATA KASUS CAMPAK (MEASLES)
KABUPATEN SLEMAN TAHUN 2024</t>
  </si>
  <si>
    <t>DATA KASUS CAMPAK (MEASLES)
KABUPATEN SLEMAN TAHUN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</si>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</sst>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833C00"/>
      <name val="Arial"/>
      <charset val="1"/>
    </font>
    <font>
      <b/>
      <sz val="9"/>
      <color rgb="FF375623"/>
      <name val="Arial"/>
      <charset val="1"/>
    </font>
    <font>
      <b/>
      <sz val="9"/>
      <color rgb="FF7030A0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1F4E79"/>
      <name val="Arial"/>
      <charset val="1"/>
    </font>
    <font>
      <b/>
      <sz val="9"/>
      <color rgb="FF595959"/>
      <name val="Arial"/>
      <charset val="1"/>
    </font>
    <font>
      <i/>
      <sz val="8"/>
      <color rgb="FF595959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538135"/>
        <bgColor rgb="FF808000"/>
      </patternFill>
    </fill>
    <fill>
      <patternFill patternType="solid">
        <fgColor rgb="FFC55A11"/>
        <bgColor rgb="FF833C00"/>
      </patternFill>
    </fill>
    <fill>
      <patternFill patternType="solid">
        <fgColor rgb="FFF4B183"/>
        <bgColor rgb="FFFF8080"/>
      </patternFill>
    </fill>
    <fill>
      <patternFill patternType="solid">
        <fgColor rgb="FFA9D18E"/>
        <bgColor rgb="FFB0B0B0"/>
      </patternFill>
    </fill>
    <fill>
      <patternFill patternType="solid">
        <fgColor rgb="FFE9D7F5"/>
        <bgColor rgb="FFF3E6FF"/>
      </patternFill>
    </fill>
    <fill>
      <patternFill patternType="solid">
        <fgColor rgb="FFFFFFFF"/>
        <bgColor rgb="FFF5F9FF"/>
      </patternFill>
    </fill>
    <fill>
      <patternFill patternType="solid">
        <fgColor rgb="FFF3E6FF"/>
        <bgColor rgb="FFEBF3FB"/>
      </patternFill>
    </fill>
    <fill>
      <patternFill patternType="solid">
        <fgColor rgb="FFF5F9FF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FCE4D6"/>
        <bgColor rgb="FFFFDDD5"/>
      </patternFill>
    </fill>
    <fill>
      <patternFill patternType="solid">
        <fgColor rgb="FFE2EFDA"/>
        <bgColor rgb="FFDEEAF1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/>
    </xf>
    <xf numFmtId="2" fontId="9" fillId="11" borderId="3" xfId="0" applyNumberFormat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2" fontId="4" fillId="13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2" fontId="9" fillId="10" borderId="3" xfId="0" applyNumberFormat="1" applyFont="1" applyFill="1" applyBorder="1" applyAlignment="1">
      <alignment horizontal="center" vertical="center"/>
    </xf>
    <xf numFmtId="2" fontId="9" fillId="12" borderId="3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4" fillId="15" borderId="3" xfId="0" applyNumberFormat="1" applyFont="1" applyFill="1" applyBorder="1" applyAlignment="1">
      <alignment horizontal="center" vertical="center"/>
    </xf>
    <xf numFmtId="0" fontId="12" fillId="0" borderId="0" xfId="0" applyFont="1"/>
    <xf numFmtId="0" fontId="4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3" fillId="0" borderId="0" xfId="0" applyFont="1"/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7030A0"/>
      <rgbColor rgb="FFF5F9FF"/>
      <rgbColor rgb="FFEBF3FB"/>
      <rgbColor rgb="FF660066"/>
      <rgbColor rgb="FFFF8080"/>
      <rgbColor rgb="FF2E75B6"/>
      <rgbColor rgb="FFE9D7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CE4D6"/>
      <rgbColor rgb="FF9DC3E6"/>
      <rgbColor rgb="FFFFDDD5"/>
      <rgbColor rgb="FFF3E6FF"/>
      <rgbColor rgb="FFF4B183"/>
      <rgbColor rgb="FF4472C4"/>
      <rgbColor rgb="FF33CCCC"/>
      <rgbColor rgb="FF99CC00"/>
      <rgbColor rgb="FFFFCC00"/>
      <rgbColor rgb="FFFF9900"/>
      <rgbColor rgb="FFC55A11"/>
      <rgbColor rgb="FF595959"/>
      <rgbColor rgb="FFA9D18E"/>
      <rgbColor rgb="FF003366"/>
      <rgbColor rgb="FF538135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zoomScaleNormal="100" workbookViewId="0">
      <pane xSplit="2" ySplit="5" topLeftCell="C10" activePane="bottomRight" state="frozen"/>
      <selection pane="topRight" activeCell="C1" sqref="C1"/>
      <selection pane="bottomLeft" activeCell="A6" sqref="A6"/>
      <selection pane="bottomRight" sqref="A1:L1"/>
    </sheetView>
  </sheetViews>
  <sheetFormatPr defaultColWidth="8.6328125" defaultRowHeight="14.5" x14ac:dyDescent="0.35"/>
  <cols>
    <col min="1" max="1" width="5" customWidth="1"/>
    <col min="2" max="2" width="16" customWidth="1"/>
    <col min="3" max="11" width="10" customWidth="1"/>
  </cols>
  <sheetData>
    <row r="1" spans="1:12" ht="39.75" customHeight="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 x14ac:dyDescent="0.3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6" customHeight="1" x14ac:dyDescent="0.35"/>
    <row r="4" spans="1:12" ht="21.75" customHeight="1" x14ac:dyDescent="0.35">
      <c r="A4" s="29" t="s">
        <v>2</v>
      </c>
      <c r="B4" s="29" t="s">
        <v>3</v>
      </c>
      <c r="C4" s="30" t="s">
        <v>4</v>
      </c>
      <c r="D4" s="30"/>
      <c r="E4" s="30"/>
      <c r="F4" s="31" t="s">
        <v>5</v>
      </c>
      <c r="G4" s="31"/>
      <c r="H4" s="31"/>
      <c r="I4" s="32" t="s">
        <v>6</v>
      </c>
      <c r="J4" s="32"/>
      <c r="K4" s="32"/>
    </row>
    <row r="5" spans="1:12" ht="18" customHeight="1" x14ac:dyDescent="0.35">
      <c r="A5" s="29"/>
      <c r="B5" s="29"/>
      <c r="C5" s="1" t="s">
        <v>7</v>
      </c>
      <c r="D5" s="2" t="s">
        <v>8</v>
      </c>
      <c r="E5" s="3" t="s">
        <v>9</v>
      </c>
      <c r="F5" s="1" t="s">
        <v>7</v>
      </c>
      <c r="G5" s="2" t="s">
        <v>8</v>
      </c>
      <c r="H5" s="3" t="s">
        <v>9</v>
      </c>
      <c r="I5" s="1" t="s">
        <v>7</v>
      </c>
      <c r="J5" s="2" t="s">
        <v>8</v>
      </c>
      <c r="K5" s="3" t="s">
        <v>9</v>
      </c>
    </row>
    <row r="6" spans="1:12" x14ac:dyDescent="0.35">
      <c r="A6" s="4">
        <v>1</v>
      </c>
      <c r="B6" s="5" t="s">
        <v>10</v>
      </c>
      <c r="C6" s="6">
        <f>'Kasus 2023'!J7</f>
        <v>13</v>
      </c>
      <c r="D6" s="6">
        <f>'Kasus 2023'!Q7</f>
        <v>1</v>
      </c>
      <c r="E6" s="7">
        <f t="shared" ref="E6:E31" si="0">IFERROR(D6/C6*100,0)</f>
        <v>7.6923076923076925</v>
      </c>
      <c r="F6" s="6">
        <f>'Kasus 2024'!J7</f>
        <v>22</v>
      </c>
      <c r="G6" s="6">
        <f>'Kasus 2024'!Q7</f>
        <v>2</v>
      </c>
      <c r="H6" s="7">
        <f t="shared" ref="H6:H31" si="1">IFERROR(G6/F6*100,0)</f>
        <v>9.0909090909090917</v>
      </c>
      <c r="I6" s="6">
        <f>'Kasus 2025'!J7</f>
        <v>12</v>
      </c>
      <c r="J6" s="6">
        <f>'Kasus 2025'!Q7</f>
        <v>0</v>
      </c>
      <c r="K6" s="7">
        <f t="shared" ref="K6:K31" si="2">IFERROR(J6/I6*100,0)</f>
        <v>0</v>
      </c>
    </row>
    <row r="7" spans="1:12" x14ac:dyDescent="0.35">
      <c r="A7" s="8">
        <v>2</v>
      </c>
      <c r="B7" s="9" t="s">
        <v>11</v>
      </c>
      <c r="C7" s="10">
        <f>'Kasus 2023'!J8</f>
        <v>17</v>
      </c>
      <c r="D7" s="10">
        <f>'Kasus 2023'!Q8</f>
        <v>3</v>
      </c>
      <c r="E7" s="7">
        <f t="shared" si="0"/>
        <v>17.647058823529413</v>
      </c>
      <c r="F7" s="10">
        <f>'Kasus 2024'!J8</f>
        <v>23</v>
      </c>
      <c r="G7" s="10">
        <f>'Kasus 2024'!Q8</f>
        <v>2</v>
      </c>
      <c r="H7" s="7">
        <f t="shared" si="1"/>
        <v>8.695652173913043</v>
      </c>
      <c r="I7" s="10">
        <f>'Kasus 2025'!J8</f>
        <v>31</v>
      </c>
      <c r="J7" s="10">
        <f>'Kasus 2025'!Q8</f>
        <v>3</v>
      </c>
      <c r="K7" s="7">
        <f t="shared" si="2"/>
        <v>9.67741935483871</v>
      </c>
    </row>
    <row r="8" spans="1:12" x14ac:dyDescent="0.35">
      <c r="A8" s="4">
        <v>3</v>
      </c>
      <c r="B8" s="5" t="s">
        <v>12</v>
      </c>
      <c r="C8" s="6">
        <f>'Kasus 2023'!J9</f>
        <v>4</v>
      </c>
      <c r="D8" s="6">
        <f>'Kasus 2023'!Q9</f>
        <v>2</v>
      </c>
      <c r="E8" s="7">
        <f t="shared" si="0"/>
        <v>50</v>
      </c>
      <c r="F8" s="6">
        <f>'Kasus 2024'!J9</f>
        <v>10</v>
      </c>
      <c r="G8" s="6">
        <f>'Kasus 2024'!Q9</f>
        <v>1</v>
      </c>
      <c r="H8" s="7">
        <f t="shared" si="1"/>
        <v>10</v>
      </c>
      <c r="I8" s="6">
        <f>'Kasus 2025'!J9</f>
        <v>26</v>
      </c>
      <c r="J8" s="6">
        <f>'Kasus 2025'!Q9</f>
        <v>1</v>
      </c>
      <c r="K8" s="7">
        <f t="shared" si="2"/>
        <v>3.8461538461538463</v>
      </c>
    </row>
    <row r="9" spans="1:12" x14ac:dyDescent="0.35">
      <c r="A9" s="8">
        <v>4</v>
      </c>
      <c r="B9" s="9" t="s">
        <v>13</v>
      </c>
      <c r="C9" s="10">
        <f>'Kasus 2023'!J10</f>
        <v>13</v>
      </c>
      <c r="D9" s="10">
        <f>'Kasus 2023'!Q10</f>
        <v>0</v>
      </c>
      <c r="E9" s="7">
        <f t="shared" si="0"/>
        <v>0</v>
      </c>
      <c r="F9" s="10">
        <f>'Kasus 2024'!J10</f>
        <v>22</v>
      </c>
      <c r="G9" s="10">
        <f>'Kasus 2024'!Q10</f>
        <v>0</v>
      </c>
      <c r="H9" s="7">
        <f t="shared" si="1"/>
        <v>0</v>
      </c>
      <c r="I9" s="10">
        <f>'Kasus 2025'!J10</f>
        <v>22</v>
      </c>
      <c r="J9" s="10">
        <f>'Kasus 2025'!Q10</f>
        <v>0</v>
      </c>
      <c r="K9" s="7">
        <f t="shared" si="2"/>
        <v>0</v>
      </c>
    </row>
    <row r="10" spans="1:12" x14ac:dyDescent="0.35">
      <c r="A10" s="4">
        <v>5</v>
      </c>
      <c r="B10" s="5" t="s">
        <v>14</v>
      </c>
      <c r="C10" s="6">
        <f>'Kasus 2023'!J11</f>
        <v>8</v>
      </c>
      <c r="D10" s="6">
        <f>'Kasus 2023'!Q11</f>
        <v>1</v>
      </c>
      <c r="E10" s="7">
        <f t="shared" si="0"/>
        <v>12.5</v>
      </c>
      <c r="F10" s="6">
        <f>'Kasus 2024'!J11</f>
        <v>13</v>
      </c>
      <c r="G10" s="6">
        <f>'Kasus 2024'!Q11</f>
        <v>1</v>
      </c>
      <c r="H10" s="7">
        <f t="shared" si="1"/>
        <v>7.6923076923076925</v>
      </c>
      <c r="I10" s="6">
        <f>'Kasus 2025'!J11</f>
        <v>13</v>
      </c>
      <c r="J10" s="6">
        <f>'Kasus 2025'!Q11</f>
        <v>2</v>
      </c>
      <c r="K10" s="7">
        <f t="shared" si="2"/>
        <v>15.384615384615385</v>
      </c>
    </row>
    <row r="11" spans="1:12" x14ac:dyDescent="0.35">
      <c r="A11" s="8">
        <v>6</v>
      </c>
      <c r="B11" s="9" t="s">
        <v>15</v>
      </c>
      <c r="C11" s="10">
        <f>'Kasus 2023'!J12</f>
        <v>9</v>
      </c>
      <c r="D11" s="10">
        <f>'Kasus 2023'!Q12</f>
        <v>3</v>
      </c>
      <c r="E11" s="7">
        <f t="shared" si="0"/>
        <v>33.333333333333329</v>
      </c>
      <c r="F11" s="10">
        <f>'Kasus 2024'!J12</f>
        <v>12</v>
      </c>
      <c r="G11" s="10">
        <f>'Kasus 2024'!Q12</f>
        <v>1</v>
      </c>
      <c r="H11" s="7">
        <f t="shared" si="1"/>
        <v>8.3333333333333321</v>
      </c>
      <c r="I11" s="10">
        <f>'Kasus 2025'!J12</f>
        <v>9</v>
      </c>
      <c r="J11" s="10">
        <f>'Kasus 2025'!Q12</f>
        <v>1</v>
      </c>
      <c r="K11" s="7">
        <f t="shared" si="2"/>
        <v>11.111111111111111</v>
      </c>
    </row>
    <row r="12" spans="1:12" x14ac:dyDescent="0.35">
      <c r="A12" s="4">
        <v>7</v>
      </c>
      <c r="B12" s="5" t="s">
        <v>16</v>
      </c>
      <c r="C12" s="6">
        <f>'Kasus 2023'!J13</f>
        <v>13</v>
      </c>
      <c r="D12" s="6">
        <f>'Kasus 2023'!Q13</f>
        <v>1</v>
      </c>
      <c r="E12" s="7">
        <f t="shared" si="0"/>
        <v>7.6923076923076925</v>
      </c>
      <c r="F12" s="6">
        <f>'Kasus 2024'!J13</f>
        <v>6</v>
      </c>
      <c r="G12" s="6">
        <f>'Kasus 2024'!Q13</f>
        <v>1</v>
      </c>
      <c r="H12" s="7">
        <f t="shared" si="1"/>
        <v>16.666666666666664</v>
      </c>
      <c r="I12" s="6">
        <f>'Kasus 2025'!J13</f>
        <v>11</v>
      </c>
      <c r="J12" s="6">
        <f>'Kasus 2025'!Q13</f>
        <v>0</v>
      </c>
      <c r="K12" s="7">
        <f t="shared" si="2"/>
        <v>0</v>
      </c>
    </row>
    <row r="13" spans="1:12" x14ac:dyDescent="0.35">
      <c r="A13" s="8">
        <v>8</v>
      </c>
      <c r="B13" s="9" t="s">
        <v>17</v>
      </c>
      <c r="C13" s="10">
        <f>'Kasus 2023'!J14</f>
        <v>35</v>
      </c>
      <c r="D13" s="10">
        <f>'Kasus 2023'!Q14</f>
        <v>4</v>
      </c>
      <c r="E13" s="7">
        <f t="shared" si="0"/>
        <v>11.428571428571429</v>
      </c>
      <c r="F13" s="10">
        <f>'Kasus 2024'!J14</f>
        <v>40</v>
      </c>
      <c r="G13" s="10">
        <f>'Kasus 2024'!Q14</f>
        <v>4</v>
      </c>
      <c r="H13" s="7">
        <f t="shared" si="1"/>
        <v>10</v>
      </c>
      <c r="I13" s="10">
        <f>'Kasus 2025'!J14</f>
        <v>28</v>
      </c>
      <c r="J13" s="10">
        <f>'Kasus 2025'!Q14</f>
        <v>1</v>
      </c>
      <c r="K13" s="7">
        <f t="shared" si="2"/>
        <v>3.5714285714285712</v>
      </c>
    </row>
    <row r="14" spans="1:12" x14ac:dyDescent="0.35">
      <c r="A14" s="4">
        <v>9</v>
      </c>
      <c r="B14" s="5" t="s">
        <v>18</v>
      </c>
      <c r="C14" s="6">
        <f>'Kasus 2023'!J15</f>
        <v>6</v>
      </c>
      <c r="D14" s="6">
        <f>'Kasus 2023'!Q15</f>
        <v>1</v>
      </c>
      <c r="E14" s="7">
        <f t="shared" si="0"/>
        <v>16.666666666666664</v>
      </c>
      <c r="F14" s="6">
        <f>'Kasus 2024'!J15</f>
        <v>17</v>
      </c>
      <c r="G14" s="6">
        <f>'Kasus 2024'!Q15</f>
        <v>1</v>
      </c>
      <c r="H14" s="7">
        <f t="shared" si="1"/>
        <v>5.8823529411764701</v>
      </c>
      <c r="I14" s="6">
        <f>'Kasus 2025'!J15</f>
        <v>11</v>
      </c>
      <c r="J14" s="6">
        <f>'Kasus 2025'!Q15</f>
        <v>0</v>
      </c>
      <c r="K14" s="7">
        <f t="shared" si="2"/>
        <v>0</v>
      </c>
    </row>
    <row r="15" spans="1:12" x14ac:dyDescent="0.35">
      <c r="A15" s="8">
        <v>10</v>
      </c>
      <c r="B15" s="9" t="s">
        <v>19</v>
      </c>
      <c r="C15" s="10">
        <f>'Kasus 2023'!J16</f>
        <v>11</v>
      </c>
      <c r="D15" s="10">
        <f>'Kasus 2023'!Q16</f>
        <v>0</v>
      </c>
      <c r="E15" s="7">
        <f t="shared" si="0"/>
        <v>0</v>
      </c>
      <c r="F15" s="10">
        <f>'Kasus 2024'!J16</f>
        <v>18</v>
      </c>
      <c r="G15" s="10">
        <f>'Kasus 2024'!Q16</f>
        <v>3</v>
      </c>
      <c r="H15" s="7">
        <f t="shared" si="1"/>
        <v>16.666666666666664</v>
      </c>
      <c r="I15" s="10">
        <f>'Kasus 2025'!J16</f>
        <v>15</v>
      </c>
      <c r="J15" s="10">
        <f>'Kasus 2025'!Q16</f>
        <v>3</v>
      </c>
      <c r="K15" s="7">
        <f t="shared" si="2"/>
        <v>20</v>
      </c>
    </row>
    <row r="16" spans="1:12" x14ac:dyDescent="0.35">
      <c r="A16" s="4">
        <v>11</v>
      </c>
      <c r="B16" s="5" t="s">
        <v>20</v>
      </c>
      <c r="C16" s="6">
        <f>'Kasus 2023'!J17</f>
        <v>17</v>
      </c>
      <c r="D16" s="6">
        <f>'Kasus 2023'!Q17</f>
        <v>5</v>
      </c>
      <c r="E16" s="7">
        <f t="shared" si="0"/>
        <v>29.411764705882355</v>
      </c>
      <c r="F16" s="6">
        <f>'Kasus 2024'!J17</f>
        <v>17</v>
      </c>
      <c r="G16" s="6">
        <f>'Kasus 2024'!Q17</f>
        <v>0</v>
      </c>
      <c r="H16" s="7">
        <f t="shared" si="1"/>
        <v>0</v>
      </c>
      <c r="I16" s="6">
        <f>'Kasus 2025'!J17</f>
        <v>19</v>
      </c>
      <c r="J16" s="6">
        <f>'Kasus 2025'!Q17</f>
        <v>3</v>
      </c>
      <c r="K16" s="7">
        <f t="shared" si="2"/>
        <v>15.789473684210526</v>
      </c>
    </row>
    <row r="17" spans="1:11" x14ac:dyDescent="0.35">
      <c r="A17" s="8">
        <v>12</v>
      </c>
      <c r="B17" s="9" t="s">
        <v>21</v>
      </c>
      <c r="C17" s="10">
        <f>'Kasus 2023'!J18</f>
        <v>19</v>
      </c>
      <c r="D17" s="10">
        <f>'Kasus 2023'!Q18</f>
        <v>5</v>
      </c>
      <c r="E17" s="7">
        <f t="shared" si="0"/>
        <v>26.315789473684209</v>
      </c>
      <c r="F17" s="10">
        <f>'Kasus 2024'!J18</f>
        <v>15</v>
      </c>
      <c r="G17" s="10">
        <f>'Kasus 2024'!Q18</f>
        <v>0</v>
      </c>
      <c r="H17" s="7">
        <f t="shared" si="1"/>
        <v>0</v>
      </c>
      <c r="I17" s="10">
        <f>'Kasus 2025'!J18</f>
        <v>25</v>
      </c>
      <c r="J17" s="10">
        <f>'Kasus 2025'!Q18</f>
        <v>4</v>
      </c>
      <c r="K17" s="7">
        <f t="shared" si="2"/>
        <v>16</v>
      </c>
    </row>
    <row r="18" spans="1:11" x14ac:dyDescent="0.35">
      <c r="A18" s="4">
        <v>13</v>
      </c>
      <c r="B18" s="5" t="s">
        <v>22</v>
      </c>
      <c r="C18" s="6">
        <f>'Kasus 2023'!J19</f>
        <v>25</v>
      </c>
      <c r="D18" s="6">
        <f>'Kasus 2023'!Q19</f>
        <v>11</v>
      </c>
      <c r="E18" s="7">
        <f t="shared" si="0"/>
        <v>44</v>
      </c>
      <c r="F18" s="6">
        <f>'Kasus 2024'!J19</f>
        <v>15</v>
      </c>
      <c r="G18" s="6">
        <f>'Kasus 2024'!Q19</f>
        <v>3</v>
      </c>
      <c r="H18" s="7">
        <f t="shared" si="1"/>
        <v>20</v>
      </c>
      <c r="I18" s="6">
        <f>'Kasus 2025'!J19</f>
        <v>14</v>
      </c>
      <c r="J18" s="6">
        <f>'Kasus 2025'!Q19</f>
        <v>1</v>
      </c>
      <c r="K18" s="7">
        <f t="shared" si="2"/>
        <v>7.1428571428571423</v>
      </c>
    </row>
    <row r="19" spans="1:11" x14ac:dyDescent="0.35">
      <c r="A19" s="8">
        <v>14</v>
      </c>
      <c r="B19" s="9" t="s">
        <v>23</v>
      </c>
      <c r="C19" s="10">
        <f>'Kasus 2023'!J20</f>
        <v>19</v>
      </c>
      <c r="D19" s="10">
        <f>'Kasus 2023'!Q20</f>
        <v>3</v>
      </c>
      <c r="E19" s="7">
        <f t="shared" si="0"/>
        <v>15.789473684210526</v>
      </c>
      <c r="F19" s="10">
        <f>'Kasus 2024'!J20</f>
        <v>14</v>
      </c>
      <c r="G19" s="10">
        <f>'Kasus 2024'!Q20</f>
        <v>3</v>
      </c>
      <c r="H19" s="7">
        <f t="shared" si="1"/>
        <v>21.428571428571427</v>
      </c>
      <c r="I19" s="10">
        <f>'Kasus 2025'!J20</f>
        <v>18</v>
      </c>
      <c r="J19" s="10">
        <f>'Kasus 2025'!Q20</f>
        <v>1</v>
      </c>
      <c r="K19" s="7">
        <f t="shared" si="2"/>
        <v>5.5555555555555554</v>
      </c>
    </row>
    <row r="20" spans="1:11" x14ac:dyDescent="0.35">
      <c r="A20" s="4">
        <v>15</v>
      </c>
      <c r="B20" s="5" t="s">
        <v>24</v>
      </c>
      <c r="C20" s="6">
        <f>'Kasus 2023'!J21</f>
        <v>36</v>
      </c>
      <c r="D20" s="6">
        <f>'Kasus 2023'!Q21</f>
        <v>4</v>
      </c>
      <c r="E20" s="7">
        <f t="shared" si="0"/>
        <v>11.111111111111111</v>
      </c>
      <c r="F20" s="6">
        <f>'Kasus 2024'!J21</f>
        <v>19</v>
      </c>
      <c r="G20" s="6">
        <f>'Kasus 2024'!Q21</f>
        <v>2</v>
      </c>
      <c r="H20" s="7">
        <f t="shared" si="1"/>
        <v>10.526315789473683</v>
      </c>
      <c r="I20" s="6">
        <f>'Kasus 2025'!J21</f>
        <v>43</v>
      </c>
      <c r="J20" s="6">
        <f>'Kasus 2025'!Q21</f>
        <v>8</v>
      </c>
      <c r="K20" s="7">
        <f t="shared" si="2"/>
        <v>18.604651162790699</v>
      </c>
    </row>
    <row r="21" spans="1:11" x14ac:dyDescent="0.35">
      <c r="A21" s="8">
        <v>16</v>
      </c>
      <c r="B21" s="9" t="s">
        <v>25</v>
      </c>
      <c r="C21" s="10">
        <f>'Kasus 2023'!J22</f>
        <v>16</v>
      </c>
      <c r="D21" s="10">
        <f>'Kasus 2023'!Q22</f>
        <v>1</v>
      </c>
      <c r="E21" s="7">
        <f t="shared" si="0"/>
        <v>6.25</v>
      </c>
      <c r="F21" s="10">
        <f>'Kasus 2024'!J22</f>
        <v>21</v>
      </c>
      <c r="G21" s="10">
        <f>'Kasus 2024'!Q22</f>
        <v>2</v>
      </c>
      <c r="H21" s="7">
        <f t="shared" si="1"/>
        <v>9.5238095238095237</v>
      </c>
      <c r="I21" s="10">
        <f>'Kasus 2025'!J22</f>
        <v>24</v>
      </c>
      <c r="J21" s="10">
        <f>'Kasus 2025'!Q22</f>
        <v>1</v>
      </c>
      <c r="K21" s="7">
        <f t="shared" si="2"/>
        <v>4.1666666666666661</v>
      </c>
    </row>
    <row r="22" spans="1:11" x14ac:dyDescent="0.35">
      <c r="A22" s="4">
        <v>17</v>
      </c>
      <c r="B22" s="5" t="s">
        <v>26</v>
      </c>
      <c r="C22" s="6">
        <f>'Kasus 2023'!J23</f>
        <v>26</v>
      </c>
      <c r="D22" s="6">
        <f>'Kasus 2023'!Q23</f>
        <v>4</v>
      </c>
      <c r="E22" s="7">
        <f t="shared" si="0"/>
        <v>15.384615384615385</v>
      </c>
      <c r="F22" s="6">
        <f>'Kasus 2024'!J23</f>
        <v>11</v>
      </c>
      <c r="G22" s="6">
        <f>'Kasus 2024'!Q23</f>
        <v>2</v>
      </c>
      <c r="H22" s="7">
        <f t="shared" si="1"/>
        <v>18.181818181818183</v>
      </c>
      <c r="I22" s="6">
        <f>'Kasus 2025'!J23</f>
        <v>18</v>
      </c>
      <c r="J22" s="6">
        <f>'Kasus 2025'!Q23</f>
        <v>0</v>
      </c>
      <c r="K22" s="7">
        <f t="shared" si="2"/>
        <v>0</v>
      </c>
    </row>
    <row r="23" spans="1:11" x14ac:dyDescent="0.35">
      <c r="A23" s="8">
        <v>18</v>
      </c>
      <c r="B23" s="9" t="s">
        <v>27</v>
      </c>
      <c r="C23" s="10">
        <f>'Kasus 2023'!J24</f>
        <v>24</v>
      </c>
      <c r="D23" s="10">
        <f>'Kasus 2023'!Q24</f>
        <v>1</v>
      </c>
      <c r="E23" s="7">
        <f t="shared" si="0"/>
        <v>4.1666666666666661</v>
      </c>
      <c r="F23" s="10">
        <f>'Kasus 2024'!J24</f>
        <v>18</v>
      </c>
      <c r="G23" s="10">
        <f>'Kasus 2024'!Q24</f>
        <v>2</v>
      </c>
      <c r="H23" s="7">
        <f t="shared" si="1"/>
        <v>11.111111111111111</v>
      </c>
      <c r="I23" s="10">
        <f>'Kasus 2025'!J24</f>
        <v>17</v>
      </c>
      <c r="J23" s="10">
        <f>'Kasus 2025'!Q24</f>
        <v>0</v>
      </c>
      <c r="K23" s="7">
        <f t="shared" si="2"/>
        <v>0</v>
      </c>
    </row>
    <row r="24" spans="1:11" x14ac:dyDescent="0.35">
      <c r="A24" s="4">
        <v>19</v>
      </c>
      <c r="B24" s="5" t="s">
        <v>28</v>
      </c>
      <c r="C24" s="6">
        <f>'Kasus 2023'!J25</f>
        <v>15</v>
      </c>
      <c r="D24" s="6">
        <f>'Kasus 2023'!Q25</f>
        <v>2</v>
      </c>
      <c r="E24" s="7">
        <f t="shared" si="0"/>
        <v>13.333333333333334</v>
      </c>
      <c r="F24" s="6">
        <f>'Kasus 2024'!J25</f>
        <v>12</v>
      </c>
      <c r="G24" s="6">
        <f>'Kasus 2024'!Q25</f>
        <v>3</v>
      </c>
      <c r="H24" s="7">
        <f t="shared" si="1"/>
        <v>25</v>
      </c>
      <c r="I24" s="6">
        <f>'Kasus 2025'!J25</f>
        <v>32</v>
      </c>
      <c r="J24" s="6">
        <f>'Kasus 2025'!Q25</f>
        <v>0</v>
      </c>
      <c r="K24" s="7">
        <f t="shared" si="2"/>
        <v>0</v>
      </c>
    </row>
    <row r="25" spans="1:11" x14ac:dyDescent="0.35">
      <c r="A25" s="8">
        <v>20</v>
      </c>
      <c r="B25" s="9" t="s">
        <v>29</v>
      </c>
      <c r="C25" s="10">
        <f>'Kasus 2023'!J26</f>
        <v>14</v>
      </c>
      <c r="D25" s="10">
        <f>'Kasus 2023'!Q26</f>
        <v>1</v>
      </c>
      <c r="E25" s="7">
        <f t="shared" si="0"/>
        <v>7.1428571428571423</v>
      </c>
      <c r="F25" s="10">
        <f>'Kasus 2024'!J26</f>
        <v>15</v>
      </c>
      <c r="G25" s="10">
        <f>'Kasus 2024'!Q26</f>
        <v>2</v>
      </c>
      <c r="H25" s="7">
        <f t="shared" si="1"/>
        <v>13.333333333333334</v>
      </c>
      <c r="I25" s="10">
        <f>'Kasus 2025'!J26</f>
        <v>32</v>
      </c>
      <c r="J25" s="10">
        <f>'Kasus 2025'!Q26</f>
        <v>2</v>
      </c>
      <c r="K25" s="7">
        <f t="shared" si="2"/>
        <v>6.25</v>
      </c>
    </row>
    <row r="26" spans="1:11" x14ac:dyDescent="0.35">
      <c r="A26" s="4">
        <v>21</v>
      </c>
      <c r="B26" s="5" t="s">
        <v>30</v>
      </c>
      <c r="C26" s="6">
        <f>'Kasus 2023'!J27</f>
        <v>10</v>
      </c>
      <c r="D26" s="6">
        <f>'Kasus 2023'!Q27</f>
        <v>1</v>
      </c>
      <c r="E26" s="7">
        <f t="shared" si="0"/>
        <v>10</v>
      </c>
      <c r="F26" s="6">
        <f>'Kasus 2024'!J27</f>
        <v>16</v>
      </c>
      <c r="G26" s="6">
        <f>'Kasus 2024'!Q27</f>
        <v>1</v>
      </c>
      <c r="H26" s="7">
        <f t="shared" si="1"/>
        <v>6.25</v>
      </c>
      <c r="I26" s="6">
        <f>'Kasus 2025'!J27</f>
        <v>10</v>
      </c>
      <c r="J26" s="6">
        <f>'Kasus 2025'!Q27</f>
        <v>1</v>
      </c>
      <c r="K26" s="7">
        <f t="shared" si="2"/>
        <v>10</v>
      </c>
    </row>
    <row r="27" spans="1:11" x14ac:dyDescent="0.35">
      <c r="A27" s="8">
        <v>22</v>
      </c>
      <c r="B27" s="9" t="s">
        <v>31</v>
      </c>
      <c r="C27" s="10">
        <f>'Kasus 2023'!J28</f>
        <v>27</v>
      </c>
      <c r="D27" s="10">
        <f>'Kasus 2023'!Q28</f>
        <v>2</v>
      </c>
      <c r="E27" s="7">
        <f t="shared" si="0"/>
        <v>7.4074074074074066</v>
      </c>
      <c r="F27" s="10">
        <f>'Kasus 2024'!J28</f>
        <v>21</v>
      </c>
      <c r="G27" s="10">
        <f>'Kasus 2024'!Q28</f>
        <v>1</v>
      </c>
      <c r="H27" s="7">
        <f t="shared" si="1"/>
        <v>4.7619047619047619</v>
      </c>
      <c r="I27" s="10">
        <f>'Kasus 2025'!J28</f>
        <v>24</v>
      </c>
      <c r="J27" s="10">
        <f>'Kasus 2025'!Q28</f>
        <v>3</v>
      </c>
      <c r="K27" s="7">
        <f t="shared" si="2"/>
        <v>12.5</v>
      </c>
    </row>
    <row r="28" spans="1:11" x14ac:dyDescent="0.35">
      <c r="A28" s="4">
        <v>23</v>
      </c>
      <c r="B28" s="5" t="s">
        <v>32</v>
      </c>
      <c r="C28" s="6">
        <f>'Kasus 2023'!J29</f>
        <v>15</v>
      </c>
      <c r="D28" s="6">
        <f>'Kasus 2023'!Q29</f>
        <v>1</v>
      </c>
      <c r="E28" s="7">
        <f t="shared" si="0"/>
        <v>6.666666666666667</v>
      </c>
      <c r="F28" s="6">
        <f>'Kasus 2024'!J29</f>
        <v>10</v>
      </c>
      <c r="G28" s="6">
        <f>'Kasus 2024'!Q29</f>
        <v>2</v>
      </c>
      <c r="H28" s="7">
        <f t="shared" si="1"/>
        <v>20</v>
      </c>
      <c r="I28" s="6">
        <f>'Kasus 2025'!J29</f>
        <v>7</v>
      </c>
      <c r="J28" s="6">
        <f>'Kasus 2025'!Q29</f>
        <v>2</v>
      </c>
      <c r="K28" s="7">
        <f t="shared" si="2"/>
        <v>28.571428571428569</v>
      </c>
    </row>
    <row r="29" spans="1:11" x14ac:dyDescent="0.35">
      <c r="A29" s="8">
        <v>24</v>
      </c>
      <c r="B29" s="9" t="s">
        <v>33</v>
      </c>
      <c r="C29" s="10">
        <f>'Kasus 2023'!J30</f>
        <v>13</v>
      </c>
      <c r="D29" s="10">
        <f>'Kasus 2023'!Q30</f>
        <v>3</v>
      </c>
      <c r="E29" s="7">
        <f t="shared" si="0"/>
        <v>23.076923076923077</v>
      </c>
      <c r="F29" s="10">
        <f>'Kasus 2024'!J30</f>
        <v>15</v>
      </c>
      <c r="G29" s="10">
        <f>'Kasus 2024'!Q30</f>
        <v>5</v>
      </c>
      <c r="H29" s="7">
        <f t="shared" si="1"/>
        <v>33.333333333333329</v>
      </c>
      <c r="I29" s="10">
        <f>'Kasus 2025'!J30</f>
        <v>14</v>
      </c>
      <c r="J29" s="10">
        <f>'Kasus 2025'!Q30</f>
        <v>1</v>
      </c>
      <c r="K29" s="7">
        <f t="shared" si="2"/>
        <v>7.1428571428571423</v>
      </c>
    </row>
    <row r="30" spans="1:11" x14ac:dyDescent="0.35">
      <c r="A30" s="4">
        <v>25</v>
      </c>
      <c r="B30" s="5" t="s">
        <v>34</v>
      </c>
      <c r="C30" s="6">
        <f>'Kasus 2023'!J31</f>
        <v>7</v>
      </c>
      <c r="D30" s="6">
        <f>'Kasus 2023'!Q31</f>
        <v>0</v>
      </c>
      <c r="E30" s="7">
        <f t="shared" si="0"/>
        <v>0</v>
      </c>
      <c r="F30" s="6">
        <f>'Kasus 2024'!J31</f>
        <v>16</v>
      </c>
      <c r="G30" s="6">
        <f>'Kasus 2024'!Q31</f>
        <v>1</v>
      </c>
      <c r="H30" s="7">
        <f t="shared" si="1"/>
        <v>6.25</v>
      </c>
      <c r="I30" s="6">
        <f>'Kasus 2025'!J31</f>
        <v>15</v>
      </c>
      <c r="J30" s="6">
        <f>'Kasus 2025'!Q31</f>
        <v>3</v>
      </c>
      <c r="K30" s="7">
        <f t="shared" si="2"/>
        <v>20</v>
      </c>
    </row>
    <row r="31" spans="1:11" x14ac:dyDescent="0.35">
      <c r="A31" s="26" t="s">
        <v>35</v>
      </c>
      <c r="B31" s="26"/>
      <c r="C31" s="11">
        <f>SUM(C6:C30)</f>
        <v>412</v>
      </c>
      <c r="D31" s="11">
        <f>SUM(D6:D30)</f>
        <v>60</v>
      </c>
      <c r="E31" s="12">
        <f t="shared" si="0"/>
        <v>14.563106796116504</v>
      </c>
      <c r="F31" s="13">
        <f>SUM(F6:F30)</f>
        <v>418</v>
      </c>
      <c r="G31" s="13">
        <f>SUM(G6:G30)</f>
        <v>45</v>
      </c>
      <c r="H31" s="12">
        <f t="shared" si="1"/>
        <v>10.76555023923445</v>
      </c>
      <c r="I31" s="14">
        <f>SUM(I6:I30)</f>
        <v>490</v>
      </c>
      <c r="J31" s="14">
        <f>SUM(J6:J30)</f>
        <v>41</v>
      </c>
      <c r="K31" s="12">
        <f t="shared" si="2"/>
        <v>8.3673469387755102</v>
      </c>
    </row>
  </sheetData>
  <mergeCells count="8">
    <mergeCell ref="A31:B31"/>
    <mergeCell ref="A1:L1"/>
    <mergeCell ref="A2:L2"/>
    <mergeCell ref="A4:A5"/>
    <mergeCell ref="B4:B5"/>
    <mergeCell ref="C4:E4"/>
    <mergeCell ref="F4:H4"/>
    <mergeCell ref="I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showGridLines="0" tabSelected="1" zoomScaleNormal="100" workbookViewId="0">
      <pane xSplit="3" ySplit="6" topLeftCell="D18" activePane="bottomRight" state="frozen"/>
      <selection pane="topRight" activeCell="D1" sqref="D1"/>
      <selection pane="bottomLeft" activeCell="A7" sqref="A7"/>
      <selection pane="bottomRight" activeCell="A16" sqref="A16:XFD16"/>
    </sheetView>
  </sheetViews>
  <sheetFormatPr defaultColWidth="8.6328125" defaultRowHeight="14.5" x14ac:dyDescent="0.35"/>
  <cols>
    <col min="1" max="1" width="5" customWidth="1"/>
    <col min="2" max="2" width="13" customWidth="1"/>
    <col min="3" max="3" width="16" customWidth="1"/>
    <col min="4" max="17" width="7.453125" customWidth="1"/>
    <col min="18" max="18" width="9" customWidth="1"/>
  </cols>
  <sheetData>
    <row r="1" spans="1:18" ht="39.75" customHeight="1" x14ac:dyDescent="0.35">
      <c r="A1" s="27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" customHeight="1" x14ac:dyDescent="0.3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6" customHeight="1" x14ac:dyDescent="0.35"/>
    <row r="4" spans="1:18" ht="21.75" customHeight="1" x14ac:dyDescent="0.35">
      <c r="A4" s="29" t="s">
        <v>2</v>
      </c>
      <c r="B4" s="29" t="s">
        <v>37</v>
      </c>
      <c r="C4" s="29" t="s">
        <v>3</v>
      </c>
      <c r="D4" s="34" t="s">
        <v>38</v>
      </c>
      <c r="E4" s="34"/>
      <c r="F4" s="34"/>
      <c r="G4" s="34"/>
      <c r="H4" s="34"/>
      <c r="I4" s="34"/>
      <c r="J4" s="34"/>
      <c r="K4" s="35" t="s">
        <v>39</v>
      </c>
      <c r="L4" s="35"/>
      <c r="M4" s="35"/>
      <c r="N4" s="35"/>
      <c r="O4" s="35"/>
      <c r="P4" s="35"/>
      <c r="Q4" s="35"/>
      <c r="R4" s="36" t="s">
        <v>40</v>
      </c>
    </row>
    <row r="5" spans="1:18" ht="18" customHeight="1" x14ac:dyDescent="0.35">
      <c r="A5" s="29"/>
      <c r="B5" s="29"/>
      <c r="C5" s="29"/>
      <c r="D5" s="37" t="s">
        <v>41</v>
      </c>
      <c r="E5" s="37"/>
      <c r="F5" s="37"/>
      <c r="G5" s="37"/>
      <c r="H5" s="37"/>
      <c r="I5" s="37"/>
      <c r="J5" s="15" t="s">
        <v>42</v>
      </c>
      <c r="K5" s="38" t="s">
        <v>41</v>
      </c>
      <c r="L5" s="38"/>
      <c r="M5" s="38"/>
      <c r="N5" s="38"/>
      <c r="O5" s="38"/>
      <c r="P5" s="38"/>
      <c r="Q5" s="16" t="s">
        <v>43</v>
      </c>
      <c r="R5" s="36"/>
    </row>
    <row r="6" spans="1:18" ht="18" customHeight="1" x14ac:dyDescent="0.35">
      <c r="A6" s="29"/>
      <c r="B6" s="29"/>
      <c r="C6" s="29"/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K6" s="2" t="s">
        <v>44</v>
      </c>
      <c r="L6" s="2" t="s">
        <v>45</v>
      </c>
      <c r="M6" s="2" t="s">
        <v>46</v>
      </c>
      <c r="N6" s="2" t="s">
        <v>47</v>
      </c>
      <c r="O6" s="2" t="s">
        <v>48</v>
      </c>
      <c r="P6" s="2" t="s">
        <v>49</v>
      </c>
      <c r="R6" s="36"/>
    </row>
    <row r="7" spans="1:18" x14ac:dyDescent="0.35">
      <c r="A7" s="4">
        <v>1</v>
      </c>
      <c r="B7" s="5" t="s">
        <v>50</v>
      </c>
      <c r="C7" s="5" t="s">
        <v>10</v>
      </c>
      <c r="D7" s="4">
        <v>3</v>
      </c>
      <c r="E7" s="4">
        <v>4</v>
      </c>
      <c r="F7" s="4">
        <v>0</v>
      </c>
      <c r="G7" s="4">
        <v>1</v>
      </c>
      <c r="H7" s="4">
        <v>1</v>
      </c>
      <c r="I7" s="4">
        <v>4</v>
      </c>
      <c r="J7" s="17">
        <f t="shared" ref="J7:J31" si="0">SUM(D7:I7)</f>
        <v>13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8">
        <f t="shared" ref="Q7:Q31" si="1">SUM(K7:P7)</f>
        <v>1</v>
      </c>
      <c r="R7" s="19">
        <f t="shared" ref="R7:R31" si="2">IFERROR(Q7/J7*100,0)</f>
        <v>7.6923076923076925</v>
      </c>
    </row>
    <row r="8" spans="1:18" x14ac:dyDescent="0.35">
      <c r="A8" s="8">
        <v>2</v>
      </c>
      <c r="B8" s="9" t="s">
        <v>50</v>
      </c>
      <c r="C8" s="9" t="s">
        <v>11</v>
      </c>
      <c r="D8" s="8">
        <v>5</v>
      </c>
      <c r="E8" s="8">
        <v>3</v>
      </c>
      <c r="F8" s="8">
        <v>2</v>
      </c>
      <c r="G8" s="8">
        <v>2</v>
      </c>
      <c r="H8" s="8">
        <v>0</v>
      </c>
      <c r="I8" s="8">
        <v>5</v>
      </c>
      <c r="J8" s="17">
        <f t="shared" si="0"/>
        <v>17</v>
      </c>
      <c r="K8" s="8">
        <v>2</v>
      </c>
      <c r="L8" s="8">
        <v>0</v>
      </c>
      <c r="M8" s="8">
        <v>0</v>
      </c>
      <c r="N8" s="8">
        <v>0</v>
      </c>
      <c r="O8" s="8">
        <v>0</v>
      </c>
      <c r="P8" s="8">
        <v>1</v>
      </c>
      <c r="Q8" s="18">
        <f t="shared" si="1"/>
        <v>3</v>
      </c>
      <c r="R8" s="20">
        <f t="shared" si="2"/>
        <v>17.647058823529413</v>
      </c>
    </row>
    <row r="9" spans="1:18" x14ac:dyDescent="0.35">
      <c r="A9" s="4">
        <v>3</v>
      </c>
      <c r="B9" s="5" t="s">
        <v>51</v>
      </c>
      <c r="C9" s="5" t="s">
        <v>12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3</v>
      </c>
      <c r="J9" s="17">
        <f t="shared" si="0"/>
        <v>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</v>
      </c>
      <c r="Q9" s="18">
        <f t="shared" si="1"/>
        <v>2</v>
      </c>
      <c r="R9" s="19">
        <f t="shared" si="2"/>
        <v>50</v>
      </c>
    </row>
    <row r="10" spans="1:18" x14ac:dyDescent="0.35">
      <c r="A10" s="8">
        <v>4</v>
      </c>
      <c r="B10" s="9" t="s">
        <v>51</v>
      </c>
      <c r="C10" s="9" t="s">
        <v>13</v>
      </c>
      <c r="D10" s="8">
        <v>3</v>
      </c>
      <c r="E10" s="8">
        <v>3</v>
      </c>
      <c r="F10" s="8">
        <v>2</v>
      </c>
      <c r="G10" s="8">
        <v>0</v>
      </c>
      <c r="H10" s="8">
        <v>0</v>
      </c>
      <c r="I10" s="8">
        <v>5</v>
      </c>
      <c r="J10" s="17">
        <f t="shared" si="0"/>
        <v>13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18">
        <f t="shared" si="1"/>
        <v>0</v>
      </c>
      <c r="R10" s="20">
        <f t="shared" si="2"/>
        <v>0</v>
      </c>
    </row>
    <row r="11" spans="1:18" x14ac:dyDescent="0.35">
      <c r="A11" s="4">
        <v>5</v>
      </c>
      <c r="B11" s="5" t="s">
        <v>14</v>
      </c>
      <c r="C11" s="5" t="s">
        <v>14</v>
      </c>
      <c r="D11" s="4">
        <v>1</v>
      </c>
      <c r="E11" s="4">
        <v>3</v>
      </c>
      <c r="F11" s="4">
        <v>0</v>
      </c>
      <c r="G11" s="4">
        <v>1</v>
      </c>
      <c r="H11" s="4">
        <v>1</v>
      </c>
      <c r="I11" s="4">
        <v>2</v>
      </c>
      <c r="J11" s="17">
        <f t="shared" si="0"/>
        <v>8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18">
        <f t="shared" si="1"/>
        <v>1</v>
      </c>
      <c r="R11" s="19">
        <f t="shared" si="2"/>
        <v>12.5</v>
      </c>
    </row>
    <row r="12" spans="1:18" x14ac:dyDescent="0.35">
      <c r="A12" s="8">
        <v>6</v>
      </c>
      <c r="B12" s="9" t="s">
        <v>15</v>
      </c>
      <c r="C12" s="9" t="s">
        <v>15</v>
      </c>
      <c r="D12" s="8">
        <v>1</v>
      </c>
      <c r="E12" s="8">
        <v>3</v>
      </c>
      <c r="F12" s="8">
        <v>1</v>
      </c>
      <c r="G12" s="8">
        <v>1</v>
      </c>
      <c r="H12" s="8">
        <v>1</v>
      </c>
      <c r="I12" s="8">
        <v>2</v>
      </c>
      <c r="J12" s="17">
        <f t="shared" si="0"/>
        <v>9</v>
      </c>
      <c r="K12" s="8">
        <v>1</v>
      </c>
      <c r="L12" s="8">
        <v>1</v>
      </c>
      <c r="M12" s="8">
        <v>0</v>
      </c>
      <c r="N12" s="8">
        <v>0</v>
      </c>
      <c r="O12" s="8">
        <v>0</v>
      </c>
      <c r="P12" s="8">
        <v>1</v>
      </c>
      <c r="Q12" s="18">
        <f t="shared" si="1"/>
        <v>3</v>
      </c>
      <c r="R12" s="20">
        <f t="shared" si="2"/>
        <v>33.333333333333329</v>
      </c>
    </row>
    <row r="13" spans="1:18" x14ac:dyDescent="0.35">
      <c r="A13" s="4">
        <v>7</v>
      </c>
      <c r="B13" s="5" t="s">
        <v>16</v>
      </c>
      <c r="C13" s="5" t="s">
        <v>16</v>
      </c>
      <c r="D13" s="4">
        <v>2</v>
      </c>
      <c r="E13" s="4">
        <v>7</v>
      </c>
      <c r="F13" s="4">
        <v>1</v>
      </c>
      <c r="G13" s="4">
        <v>0</v>
      </c>
      <c r="H13" s="4">
        <v>0</v>
      </c>
      <c r="I13" s="4">
        <v>3</v>
      </c>
      <c r="J13" s="17">
        <f t="shared" si="0"/>
        <v>13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18">
        <f t="shared" si="1"/>
        <v>1</v>
      </c>
      <c r="R13" s="19">
        <f t="shared" si="2"/>
        <v>7.6923076923076925</v>
      </c>
    </row>
    <row r="14" spans="1:18" x14ac:dyDescent="0.35">
      <c r="A14" s="8">
        <v>8</v>
      </c>
      <c r="B14" s="9" t="s">
        <v>52</v>
      </c>
      <c r="C14" s="9" t="s">
        <v>17</v>
      </c>
      <c r="D14" s="8">
        <v>4</v>
      </c>
      <c r="E14" s="8">
        <v>7</v>
      </c>
      <c r="F14" s="8">
        <v>14</v>
      </c>
      <c r="G14" s="8">
        <v>2</v>
      </c>
      <c r="H14" s="8">
        <v>0</v>
      </c>
      <c r="I14" s="8">
        <v>8</v>
      </c>
      <c r="J14" s="17">
        <f t="shared" si="0"/>
        <v>35</v>
      </c>
      <c r="K14" s="8">
        <v>0</v>
      </c>
      <c r="L14" s="8">
        <v>1</v>
      </c>
      <c r="M14" s="8">
        <v>0</v>
      </c>
      <c r="N14" s="8">
        <v>1</v>
      </c>
      <c r="O14" s="8">
        <v>0</v>
      </c>
      <c r="P14" s="8">
        <v>2</v>
      </c>
      <c r="Q14" s="18">
        <f t="shared" si="1"/>
        <v>4</v>
      </c>
      <c r="R14" s="20">
        <f t="shared" si="2"/>
        <v>11.428571428571429</v>
      </c>
    </row>
    <row r="15" spans="1:18" x14ac:dyDescent="0.35">
      <c r="A15" s="4">
        <v>9</v>
      </c>
      <c r="B15" s="5" t="s">
        <v>52</v>
      </c>
      <c r="C15" s="5" t="s">
        <v>18</v>
      </c>
      <c r="D15" s="4">
        <v>1</v>
      </c>
      <c r="E15" s="4">
        <v>1</v>
      </c>
      <c r="F15" s="4">
        <v>3</v>
      </c>
      <c r="G15" s="4">
        <v>1</v>
      </c>
      <c r="H15" s="4">
        <v>0</v>
      </c>
      <c r="I15" s="4">
        <v>0</v>
      </c>
      <c r="J15" s="17">
        <f t="shared" si="0"/>
        <v>6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18">
        <f t="shared" si="1"/>
        <v>1</v>
      </c>
      <c r="R15" s="19">
        <f t="shared" si="2"/>
        <v>16.666666666666664</v>
      </c>
    </row>
    <row r="16" spans="1:18" x14ac:dyDescent="0.35">
      <c r="A16" s="8">
        <v>10</v>
      </c>
      <c r="B16" s="9" t="s">
        <v>53</v>
      </c>
      <c r="C16" s="9" t="s">
        <v>19</v>
      </c>
      <c r="D16" s="8">
        <v>1</v>
      </c>
      <c r="E16" s="8">
        <v>4</v>
      </c>
      <c r="F16" s="8">
        <v>0</v>
      </c>
      <c r="G16" s="8">
        <v>1</v>
      </c>
      <c r="H16" s="8">
        <v>0</v>
      </c>
      <c r="I16" s="8">
        <v>5</v>
      </c>
      <c r="J16" s="17">
        <f t="shared" si="0"/>
        <v>11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18">
        <f t="shared" si="1"/>
        <v>0</v>
      </c>
      <c r="R16" s="20">
        <f t="shared" si="2"/>
        <v>0</v>
      </c>
    </row>
    <row r="17" spans="1:18" x14ac:dyDescent="0.35">
      <c r="A17" s="4">
        <v>11</v>
      </c>
      <c r="B17" s="5" t="s">
        <v>53</v>
      </c>
      <c r="C17" s="5" t="s">
        <v>20</v>
      </c>
      <c r="D17" s="4">
        <v>1</v>
      </c>
      <c r="E17" s="4">
        <v>3</v>
      </c>
      <c r="F17" s="4">
        <v>4</v>
      </c>
      <c r="G17" s="4">
        <v>0</v>
      </c>
      <c r="H17" s="4">
        <v>1</v>
      </c>
      <c r="I17" s="4">
        <v>8</v>
      </c>
      <c r="J17" s="17">
        <f t="shared" si="0"/>
        <v>17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4</v>
      </c>
      <c r="Q17" s="18">
        <f t="shared" si="1"/>
        <v>5</v>
      </c>
      <c r="R17" s="19">
        <f t="shared" si="2"/>
        <v>29.411764705882355</v>
      </c>
    </row>
    <row r="18" spans="1:18" x14ac:dyDescent="0.35">
      <c r="A18" s="8">
        <v>12</v>
      </c>
      <c r="B18" s="9" t="s">
        <v>53</v>
      </c>
      <c r="C18" s="9" t="s">
        <v>21</v>
      </c>
      <c r="D18" s="8">
        <v>2</v>
      </c>
      <c r="E18" s="8">
        <v>5</v>
      </c>
      <c r="F18" s="8">
        <v>5</v>
      </c>
      <c r="G18" s="8">
        <v>2</v>
      </c>
      <c r="H18" s="8">
        <v>1</v>
      </c>
      <c r="I18" s="8">
        <v>4</v>
      </c>
      <c r="J18" s="17">
        <f t="shared" si="0"/>
        <v>19</v>
      </c>
      <c r="K18" s="8">
        <v>0</v>
      </c>
      <c r="L18" s="8">
        <v>2</v>
      </c>
      <c r="M18" s="8">
        <v>0</v>
      </c>
      <c r="N18" s="8">
        <v>2</v>
      </c>
      <c r="O18" s="8">
        <v>0</v>
      </c>
      <c r="P18" s="8">
        <v>1</v>
      </c>
      <c r="Q18" s="18">
        <f t="shared" si="1"/>
        <v>5</v>
      </c>
      <c r="R18" s="20">
        <f t="shared" si="2"/>
        <v>26.315789473684209</v>
      </c>
    </row>
    <row r="19" spans="1:18" x14ac:dyDescent="0.35">
      <c r="A19" s="4">
        <v>13</v>
      </c>
      <c r="B19" s="5" t="s">
        <v>22</v>
      </c>
      <c r="C19" s="5" t="s">
        <v>22</v>
      </c>
      <c r="D19" s="4">
        <v>3</v>
      </c>
      <c r="E19" s="4">
        <v>6</v>
      </c>
      <c r="F19" s="4">
        <v>10</v>
      </c>
      <c r="G19" s="4">
        <v>3</v>
      </c>
      <c r="H19" s="4">
        <v>0</v>
      </c>
      <c r="I19" s="4">
        <v>3</v>
      </c>
      <c r="J19" s="17">
        <f t="shared" si="0"/>
        <v>25</v>
      </c>
      <c r="K19" s="4">
        <v>0</v>
      </c>
      <c r="L19" s="4">
        <v>2</v>
      </c>
      <c r="M19" s="4">
        <v>5</v>
      </c>
      <c r="N19" s="4">
        <v>3</v>
      </c>
      <c r="O19" s="4">
        <v>0</v>
      </c>
      <c r="P19" s="4">
        <v>1</v>
      </c>
      <c r="Q19" s="18">
        <f t="shared" si="1"/>
        <v>11</v>
      </c>
      <c r="R19" s="19">
        <f t="shared" si="2"/>
        <v>44</v>
      </c>
    </row>
    <row r="20" spans="1:18" x14ac:dyDescent="0.35">
      <c r="A20" s="8">
        <v>14</v>
      </c>
      <c r="B20" s="9" t="s">
        <v>23</v>
      </c>
      <c r="C20" s="9" t="s">
        <v>23</v>
      </c>
      <c r="D20" s="8">
        <v>4</v>
      </c>
      <c r="E20" s="8">
        <v>4</v>
      </c>
      <c r="F20" s="8">
        <v>4</v>
      </c>
      <c r="G20" s="8">
        <v>3</v>
      </c>
      <c r="H20" s="8">
        <v>3</v>
      </c>
      <c r="I20" s="8">
        <v>1</v>
      </c>
      <c r="J20" s="17">
        <f t="shared" si="0"/>
        <v>19</v>
      </c>
      <c r="K20" s="8">
        <v>0</v>
      </c>
      <c r="L20" s="8">
        <v>0</v>
      </c>
      <c r="M20" s="8">
        <v>1</v>
      </c>
      <c r="N20" s="8">
        <v>0</v>
      </c>
      <c r="O20" s="8">
        <v>1</v>
      </c>
      <c r="P20" s="8">
        <v>1</v>
      </c>
      <c r="Q20" s="18">
        <f t="shared" si="1"/>
        <v>3</v>
      </c>
      <c r="R20" s="20">
        <f t="shared" si="2"/>
        <v>15.789473684210526</v>
      </c>
    </row>
    <row r="21" spans="1:18" x14ac:dyDescent="0.35">
      <c r="A21" s="4">
        <v>15</v>
      </c>
      <c r="B21" s="5" t="s">
        <v>24</v>
      </c>
      <c r="C21" s="5" t="s">
        <v>24</v>
      </c>
      <c r="D21" s="4">
        <v>5</v>
      </c>
      <c r="E21" s="4">
        <v>8</v>
      </c>
      <c r="F21" s="4">
        <v>11</v>
      </c>
      <c r="G21" s="4">
        <v>4</v>
      </c>
      <c r="H21" s="4">
        <v>1</v>
      </c>
      <c r="I21" s="4">
        <v>7</v>
      </c>
      <c r="J21" s="17">
        <f t="shared" si="0"/>
        <v>36</v>
      </c>
      <c r="K21" s="4">
        <v>1</v>
      </c>
      <c r="L21" s="4">
        <v>0</v>
      </c>
      <c r="M21" s="4">
        <v>2</v>
      </c>
      <c r="N21" s="4">
        <v>0</v>
      </c>
      <c r="O21" s="4">
        <v>0</v>
      </c>
      <c r="P21" s="4">
        <v>1</v>
      </c>
      <c r="Q21" s="18">
        <f t="shared" si="1"/>
        <v>4</v>
      </c>
      <c r="R21" s="19">
        <f t="shared" si="2"/>
        <v>11.111111111111111</v>
      </c>
    </row>
    <row r="22" spans="1:18" x14ac:dyDescent="0.35">
      <c r="A22" s="8">
        <v>16</v>
      </c>
      <c r="B22" s="9" t="s">
        <v>54</v>
      </c>
      <c r="C22" s="9" t="s">
        <v>25</v>
      </c>
      <c r="D22" s="8">
        <v>4</v>
      </c>
      <c r="E22" s="8">
        <v>4</v>
      </c>
      <c r="F22" s="8">
        <v>2</v>
      </c>
      <c r="G22" s="8">
        <v>0</v>
      </c>
      <c r="H22" s="8">
        <v>1</v>
      </c>
      <c r="I22" s="8">
        <v>5</v>
      </c>
      <c r="J22" s="17">
        <f t="shared" si="0"/>
        <v>16</v>
      </c>
      <c r="K22" s="8">
        <v>0</v>
      </c>
      <c r="L22" s="8">
        <v>1</v>
      </c>
      <c r="M22" s="8">
        <v>0</v>
      </c>
      <c r="N22" s="8">
        <v>0</v>
      </c>
      <c r="O22" s="8">
        <v>0</v>
      </c>
      <c r="P22" s="8">
        <v>0</v>
      </c>
      <c r="Q22" s="18">
        <f t="shared" si="1"/>
        <v>1</v>
      </c>
      <c r="R22" s="20">
        <f t="shared" si="2"/>
        <v>6.25</v>
      </c>
    </row>
    <row r="23" spans="1:18" x14ac:dyDescent="0.35">
      <c r="A23" s="4">
        <v>17</v>
      </c>
      <c r="B23" s="5" t="s">
        <v>54</v>
      </c>
      <c r="C23" s="5" t="s">
        <v>26</v>
      </c>
      <c r="D23" s="4">
        <v>7</v>
      </c>
      <c r="E23" s="4">
        <v>7</v>
      </c>
      <c r="F23" s="4">
        <v>5</v>
      </c>
      <c r="G23" s="4">
        <v>2</v>
      </c>
      <c r="H23" s="4">
        <v>0</v>
      </c>
      <c r="I23" s="4">
        <v>5</v>
      </c>
      <c r="J23" s="17">
        <f t="shared" si="0"/>
        <v>26</v>
      </c>
      <c r="K23" s="4">
        <v>1</v>
      </c>
      <c r="L23" s="4">
        <v>3</v>
      </c>
      <c r="M23" s="4">
        <v>0</v>
      </c>
      <c r="N23" s="4">
        <v>0</v>
      </c>
      <c r="O23" s="4">
        <v>0</v>
      </c>
      <c r="P23" s="4">
        <v>0</v>
      </c>
      <c r="Q23" s="18">
        <f t="shared" si="1"/>
        <v>4</v>
      </c>
      <c r="R23" s="19">
        <f t="shared" si="2"/>
        <v>15.384615384615385</v>
      </c>
    </row>
    <row r="24" spans="1:18" x14ac:dyDescent="0.35">
      <c r="A24" s="8">
        <v>18</v>
      </c>
      <c r="B24" s="9" t="s">
        <v>55</v>
      </c>
      <c r="C24" s="9" t="s">
        <v>27</v>
      </c>
      <c r="D24" s="8">
        <v>4</v>
      </c>
      <c r="E24" s="8">
        <v>9</v>
      </c>
      <c r="F24" s="8">
        <v>4</v>
      </c>
      <c r="G24" s="8">
        <v>0</v>
      </c>
      <c r="H24" s="8">
        <v>2</v>
      </c>
      <c r="I24" s="8">
        <v>5</v>
      </c>
      <c r="J24" s="17">
        <f t="shared" si="0"/>
        <v>24</v>
      </c>
      <c r="K24" s="8">
        <v>0</v>
      </c>
      <c r="L24" s="8">
        <v>1</v>
      </c>
      <c r="M24" s="8">
        <v>0</v>
      </c>
      <c r="N24" s="8">
        <v>0</v>
      </c>
      <c r="O24" s="8">
        <v>0</v>
      </c>
      <c r="P24" s="8">
        <v>0</v>
      </c>
      <c r="Q24" s="18">
        <f t="shared" si="1"/>
        <v>1</v>
      </c>
      <c r="R24" s="20">
        <f t="shared" si="2"/>
        <v>4.1666666666666661</v>
      </c>
    </row>
    <row r="25" spans="1:18" x14ac:dyDescent="0.35">
      <c r="A25" s="4">
        <v>19</v>
      </c>
      <c r="B25" s="5" t="s">
        <v>55</v>
      </c>
      <c r="C25" s="5" t="s">
        <v>28</v>
      </c>
      <c r="D25" s="4">
        <v>5</v>
      </c>
      <c r="E25" s="4">
        <v>8</v>
      </c>
      <c r="F25" s="4">
        <v>2</v>
      </c>
      <c r="G25" s="4">
        <v>0</v>
      </c>
      <c r="H25" s="4">
        <v>0</v>
      </c>
      <c r="I25" s="4">
        <v>0</v>
      </c>
      <c r="J25" s="17">
        <f t="shared" si="0"/>
        <v>15</v>
      </c>
      <c r="K25" s="4">
        <v>2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18">
        <f t="shared" si="1"/>
        <v>2</v>
      </c>
      <c r="R25" s="19">
        <f t="shared" si="2"/>
        <v>13.333333333333334</v>
      </c>
    </row>
    <row r="26" spans="1:18" x14ac:dyDescent="0.35">
      <c r="A26" s="8">
        <v>20</v>
      </c>
      <c r="B26" s="9" t="s">
        <v>29</v>
      </c>
      <c r="C26" s="9" t="s">
        <v>29</v>
      </c>
      <c r="D26" s="8">
        <v>3</v>
      </c>
      <c r="E26" s="8">
        <v>3</v>
      </c>
      <c r="F26" s="8">
        <v>3</v>
      </c>
      <c r="G26" s="8">
        <v>3</v>
      </c>
      <c r="H26" s="8">
        <v>1</v>
      </c>
      <c r="I26" s="8">
        <v>1</v>
      </c>
      <c r="J26" s="17">
        <f t="shared" si="0"/>
        <v>14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  <c r="Q26" s="18">
        <f t="shared" si="1"/>
        <v>1</v>
      </c>
      <c r="R26" s="20">
        <f t="shared" si="2"/>
        <v>7.1428571428571423</v>
      </c>
    </row>
    <row r="27" spans="1:18" x14ac:dyDescent="0.35">
      <c r="A27" s="4">
        <v>21</v>
      </c>
      <c r="B27" s="5" t="s">
        <v>56</v>
      </c>
      <c r="C27" s="5" t="s">
        <v>30</v>
      </c>
      <c r="D27" s="4">
        <v>7</v>
      </c>
      <c r="E27" s="4">
        <v>0</v>
      </c>
      <c r="F27" s="4">
        <v>1</v>
      </c>
      <c r="G27" s="4">
        <v>1</v>
      </c>
      <c r="H27" s="4">
        <v>0</v>
      </c>
      <c r="I27" s="4">
        <v>1</v>
      </c>
      <c r="J27" s="17">
        <f t="shared" si="0"/>
        <v>10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18">
        <f t="shared" si="1"/>
        <v>1</v>
      </c>
      <c r="R27" s="19">
        <f t="shared" si="2"/>
        <v>10</v>
      </c>
    </row>
    <row r="28" spans="1:18" x14ac:dyDescent="0.35">
      <c r="A28" s="8">
        <v>22</v>
      </c>
      <c r="B28" s="9" t="s">
        <v>56</v>
      </c>
      <c r="C28" s="9" t="s">
        <v>31</v>
      </c>
      <c r="D28" s="8">
        <v>0</v>
      </c>
      <c r="E28" s="8">
        <v>3</v>
      </c>
      <c r="F28" s="8">
        <v>8</v>
      </c>
      <c r="G28" s="8">
        <v>2</v>
      </c>
      <c r="H28" s="8">
        <v>6</v>
      </c>
      <c r="I28" s="8">
        <v>8</v>
      </c>
      <c r="J28" s="17">
        <f t="shared" si="0"/>
        <v>27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1</v>
      </c>
      <c r="Q28" s="18">
        <f t="shared" si="1"/>
        <v>2</v>
      </c>
      <c r="R28" s="20">
        <f t="shared" si="2"/>
        <v>7.4074074074074066</v>
      </c>
    </row>
    <row r="29" spans="1:18" x14ac:dyDescent="0.35">
      <c r="A29" s="4">
        <v>23</v>
      </c>
      <c r="B29" s="5" t="s">
        <v>32</v>
      </c>
      <c r="C29" s="5" t="s">
        <v>32</v>
      </c>
      <c r="D29" s="4">
        <v>4</v>
      </c>
      <c r="E29" s="4">
        <v>2</v>
      </c>
      <c r="F29" s="4">
        <v>0</v>
      </c>
      <c r="G29" s="4">
        <v>4</v>
      </c>
      <c r="H29" s="4">
        <v>1</v>
      </c>
      <c r="I29" s="4">
        <v>4</v>
      </c>
      <c r="J29" s="17">
        <f t="shared" si="0"/>
        <v>15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1</v>
      </c>
      <c r="Q29" s="18">
        <f t="shared" si="1"/>
        <v>1</v>
      </c>
      <c r="R29" s="19">
        <f t="shared" si="2"/>
        <v>6.666666666666667</v>
      </c>
    </row>
    <row r="30" spans="1:18" x14ac:dyDescent="0.35">
      <c r="A30" s="8">
        <v>24</v>
      </c>
      <c r="B30" s="9" t="s">
        <v>33</v>
      </c>
      <c r="C30" s="9" t="s">
        <v>33</v>
      </c>
      <c r="D30" s="8">
        <v>2</v>
      </c>
      <c r="E30" s="8">
        <v>1</v>
      </c>
      <c r="F30" s="8">
        <v>7</v>
      </c>
      <c r="G30" s="8">
        <v>2</v>
      </c>
      <c r="H30" s="8">
        <v>1</v>
      </c>
      <c r="I30" s="8">
        <v>0</v>
      </c>
      <c r="J30" s="17">
        <f t="shared" si="0"/>
        <v>13</v>
      </c>
      <c r="K30" s="8">
        <v>0</v>
      </c>
      <c r="L30" s="8">
        <v>1</v>
      </c>
      <c r="M30" s="8">
        <v>1</v>
      </c>
      <c r="N30" s="8">
        <v>1</v>
      </c>
      <c r="O30" s="8">
        <v>0</v>
      </c>
      <c r="P30" s="8">
        <v>0</v>
      </c>
      <c r="Q30" s="18">
        <f t="shared" si="1"/>
        <v>3</v>
      </c>
      <c r="R30" s="20">
        <f t="shared" si="2"/>
        <v>23.076923076923077</v>
      </c>
    </row>
    <row r="31" spans="1:18" x14ac:dyDescent="0.35">
      <c r="A31" s="4">
        <v>25</v>
      </c>
      <c r="B31" s="5" t="s">
        <v>34</v>
      </c>
      <c r="C31" s="5" t="s">
        <v>34</v>
      </c>
      <c r="D31" s="4">
        <v>1</v>
      </c>
      <c r="E31" s="4">
        <v>1</v>
      </c>
      <c r="F31" s="4">
        <v>4</v>
      </c>
      <c r="G31" s="4">
        <v>0</v>
      </c>
      <c r="H31" s="4">
        <v>0</v>
      </c>
      <c r="I31" s="4">
        <v>1</v>
      </c>
      <c r="J31" s="17">
        <f t="shared" si="0"/>
        <v>7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18">
        <f t="shared" si="1"/>
        <v>0</v>
      </c>
      <c r="R31" s="19">
        <f t="shared" si="2"/>
        <v>0</v>
      </c>
    </row>
    <row r="32" spans="1:18" ht="21.75" customHeight="1" x14ac:dyDescent="0.35">
      <c r="A32" s="26" t="s">
        <v>35</v>
      </c>
      <c r="B32" s="26"/>
      <c r="C32" s="26"/>
      <c r="D32" s="21">
        <f t="shared" ref="D32:P32" si="3">SUM(D7:D31)</f>
        <v>73</v>
      </c>
      <c r="E32" s="21">
        <f t="shared" si="3"/>
        <v>100</v>
      </c>
      <c r="F32" s="21">
        <f t="shared" si="3"/>
        <v>93</v>
      </c>
      <c r="G32" s="21">
        <f t="shared" si="3"/>
        <v>35</v>
      </c>
      <c r="H32" s="21">
        <f t="shared" si="3"/>
        <v>21</v>
      </c>
      <c r="I32" s="21">
        <f t="shared" si="3"/>
        <v>90</v>
      </c>
      <c r="J32" s="22">
        <f t="shared" si="3"/>
        <v>412</v>
      </c>
      <c r="K32" s="23">
        <f t="shared" si="3"/>
        <v>8</v>
      </c>
      <c r="L32" s="23">
        <f t="shared" si="3"/>
        <v>14</v>
      </c>
      <c r="M32" s="23">
        <f t="shared" si="3"/>
        <v>12</v>
      </c>
      <c r="N32" s="23">
        <f t="shared" si="3"/>
        <v>7</v>
      </c>
      <c r="O32" s="23">
        <f t="shared" si="3"/>
        <v>2</v>
      </c>
      <c r="P32" s="23">
        <f t="shared" si="3"/>
        <v>17</v>
      </c>
      <c r="Q32" s="24">
        <f ca="1">IFERROR(Q32/J32*100,0)</f>
        <v>0</v>
      </c>
    </row>
    <row r="34" spans="1:18" x14ac:dyDescent="0.35">
      <c r="A34" s="25" t="s">
        <v>57</v>
      </c>
    </row>
    <row r="35" spans="1:18" x14ac:dyDescent="0.35">
      <c r="A35" s="33" t="s">
        <v>58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 x14ac:dyDescent="0.35">
      <c r="A36" s="33" t="s">
        <v>59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x14ac:dyDescent="0.35">
      <c r="A37" s="33" t="s">
        <v>60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 x14ac:dyDescent="0.35">
      <c r="A38" s="33" t="s">
        <v>61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</sheetData>
  <mergeCells count="15">
    <mergeCell ref="A1:R1"/>
    <mergeCell ref="A2:R2"/>
    <mergeCell ref="A4:A6"/>
    <mergeCell ref="B4:B6"/>
    <mergeCell ref="C4:C6"/>
    <mergeCell ref="D4:J4"/>
    <mergeCell ref="K4:Q4"/>
    <mergeCell ref="R4:R6"/>
    <mergeCell ref="D5:I5"/>
    <mergeCell ref="K5:P5"/>
    <mergeCell ref="A32:C32"/>
    <mergeCell ref="A35:R35"/>
    <mergeCell ref="A36:R36"/>
    <mergeCell ref="A37:R37"/>
    <mergeCell ref="A38:R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Q31" sqref="Q31"/>
    </sheetView>
  </sheetViews>
  <sheetFormatPr defaultColWidth="8.6328125" defaultRowHeight="14.5" x14ac:dyDescent="0.35"/>
  <cols>
    <col min="1" max="1" width="5" customWidth="1"/>
    <col min="2" max="2" width="13" customWidth="1"/>
    <col min="3" max="3" width="16" customWidth="1"/>
    <col min="4" max="17" width="7.453125" customWidth="1"/>
    <col min="18" max="18" width="9" customWidth="1"/>
  </cols>
  <sheetData>
    <row r="1" spans="1:18" ht="39.75" customHeight="1" x14ac:dyDescent="0.35">
      <c r="A1" s="27" t="s">
        <v>62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" customHeight="1" x14ac:dyDescent="0.3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6" customHeight="1" x14ac:dyDescent="0.35"/>
    <row r="4" spans="1:18" ht="21.75" customHeight="1" x14ac:dyDescent="0.35">
      <c r="A4" s="29" t="s">
        <v>2</v>
      </c>
      <c r="B4" s="29" t="s">
        <v>37</v>
      </c>
      <c r="C4" s="29" t="s">
        <v>3</v>
      </c>
      <c r="D4" s="34" t="s">
        <v>38</v>
      </c>
      <c r="E4" s="34"/>
      <c r="F4" s="34"/>
      <c r="G4" s="34"/>
      <c r="H4" s="34"/>
      <c r="I4" s="34"/>
      <c r="J4" s="34"/>
      <c r="K4" s="35" t="s">
        <v>39</v>
      </c>
      <c r="L4" s="35"/>
      <c r="M4" s="35"/>
      <c r="N4" s="35"/>
      <c r="O4" s="35"/>
      <c r="P4" s="35"/>
      <c r="Q4" s="35"/>
      <c r="R4" s="36" t="s">
        <v>40</v>
      </c>
    </row>
    <row r="5" spans="1:18" ht="18" customHeight="1" x14ac:dyDescent="0.35">
      <c r="A5" s="29"/>
      <c r="B5" s="29"/>
      <c r="C5" s="29"/>
      <c r="D5" s="37" t="s">
        <v>41</v>
      </c>
      <c r="E5" s="37"/>
      <c r="F5" s="37"/>
      <c r="G5" s="37"/>
      <c r="H5" s="37"/>
      <c r="I5" s="37"/>
      <c r="J5" s="15" t="s">
        <v>42</v>
      </c>
      <c r="K5" s="38" t="s">
        <v>41</v>
      </c>
      <c r="L5" s="38"/>
      <c r="M5" s="38"/>
      <c r="N5" s="38"/>
      <c r="O5" s="38"/>
      <c r="P5" s="38"/>
      <c r="Q5" s="16" t="s">
        <v>43</v>
      </c>
      <c r="R5" s="36"/>
    </row>
    <row r="6" spans="1:18" ht="18" customHeight="1" x14ac:dyDescent="0.35">
      <c r="A6" s="29"/>
      <c r="B6" s="29"/>
      <c r="C6" s="29"/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K6" s="2" t="s">
        <v>44</v>
      </c>
      <c r="L6" s="2" t="s">
        <v>45</v>
      </c>
      <c r="M6" s="2" t="s">
        <v>46</v>
      </c>
      <c r="N6" s="2" t="s">
        <v>47</v>
      </c>
      <c r="O6" s="2" t="s">
        <v>48</v>
      </c>
      <c r="P6" s="2" t="s">
        <v>49</v>
      </c>
      <c r="R6" s="36"/>
    </row>
    <row r="7" spans="1:18" x14ac:dyDescent="0.35">
      <c r="A7" s="4">
        <v>1</v>
      </c>
      <c r="B7" s="5" t="s">
        <v>50</v>
      </c>
      <c r="C7" s="5" t="s">
        <v>10</v>
      </c>
      <c r="D7" s="4">
        <v>8</v>
      </c>
      <c r="E7" s="4">
        <v>6</v>
      </c>
      <c r="F7" s="4">
        <v>4</v>
      </c>
      <c r="G7" s="4">
        <v>2</v>
      </c>
      <c r="H7" s="4">
        <v>2</v>
      </c>
      <c r="I7" s="4">
        <v>0</v>
      </c>
      <c r="J7" s="17">
        <f t="shared" ref="J7:J31" si="0">SUM(D7:I7)</f>
        <v>22</v>
      </c>
      <c r="K7" s="4">
        <v>1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18">
        <f t="shared" ref="Q7:Q31" si="1">SUM(K7:P7)</f>
        <v>2</v>
      </c>
      <c r="R7" s="19">
        <f t="shared" ref="R7:R31" si="2">IFERROR(Q7/J7*100,0)</f>
        <v>9.0909090909090917</v>
      </c>
    </row>
    <row r="8" spans="1:18" x14ac:dyDescent="0.35">
      <c r="A8" s="8">
        <v>2</v>
      </c>
      <c r="B8" s="9" t="s">
        <v>50</v>
      </c>
      <c r="C8" s="9" t="s">
        <v>11</v>
      </c>
      <c r="D8" s="8">
        <v>6</v>
      </c>
      <c r="E8" s="8">
        <v>6</v>
      </c>
      <c r="F8" s="8">
        <v>6</v>
      </c>
      <c r="G8" s="8">
        <v>1</v>
      </c>
      <c r="H8" s="8">
        <v>1</v>
      </c>
      <c r="I8" s="8">
        <v>3</v>
      </c>
      <c r="J8" s="17">
        <f t="shared" si="0"/>
        <v>23</v>
      </c>
      <c r="K8" s="8">
        <v>1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18">
        <f t="shared" si="1"/>
        <v>2</v>
      </c>
      <c r="R8" s="20">
        <f t="shared" si="2"/>
        <v>8.695652173913043</v>
      </c>
    </row>
    <row r="9" spans="1:18" x14ac:dyDescent="0.35">
      <c r="A9" s="4">
        <v>3</v>
      </c>
      <c r="B9" s="5" t="s">
        <v>51</v>
      </c>
      <c r="C9" s="5" t="s">
        <v>12</v>
      </c>
      <c r="D9" s="4">
        <v>1</v>
      </c>
      <c r="E9" s="4">
        <v>5</v>
      </c>
      <c r="F9" s="4">
        <v>2</v>
      </c>
      <c r="G9" s="4">
        <v>1</v>
      </c>
      <c r="H9" s="4">
        <v>0</v>
      </c>
      <c r="I9" s="4">
        <v>1</v>
      </c>
      <c r="J9" s="17">
        <f t="shared" si="0"/>
        <v>10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18">
        <f t="shared" si="1"/>
        <v>1</v>
      </c>
      <c r="R9" s="19">
        <f t="shared" si="2"/>
        <v>10</v>
      </c>
    </row>
    <row r="10" spans="1:18" x14ac:dyDescent="0.35">
      <c r="A10" s="8">
        <v>4</v>
      </c>
      <c r="B10" s="9" t="s">
        <v>51</v>
      </c>
      <c r="C10" s="9" t="s">
        <v>13</v>
      </c>
      <c r="D10" s="8">
        <v>4</v>
      </c>
      <c r="E10" s="8">
        <v>7</v>
      </c>
      <c r="F10" s="8">
        <v>4</v>
      </c>
      <c r="G10" s="8">
        <v>3</v>
      </c>
      <c r="H10" s="8">
        <v>2</v>
      </c>
      <c r="I10" s="8">
        <v>2</v>
      </c>
      <c r="J10" s="17">
        <f t="shared" si="0"/>
        <v>22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18">
        <f t="shared" si="1"/>
        <v>0</v>
      </c>
      <c r="R10" s="20">
        <f t="shared" si="2"/>
        <v>0</v>
      </c>
    </row>
    <row r="11" spans="1:18" x14ac:dyDescent="0.35">
      <c r="A11" s="4">
        <v>5</v>
      </c>
      <c r="B11" s="5" t="s">
        <v>14</v>
      </c>
      <c r="C11" s="5" t="s">
        <v>14</v>
      </c>
      <c r="D11" s="4">
        <v>1</v>
      </c>
      <c r="E11" s="4">
        <v>3</v>
      </c>
      <c r="F11" s="4">
        <v>2</v>
      </c>
      <c r="G11" s="4">
        <v>3</v>
      </c>
      <c r="H11" s="4">
        <v>0</v>
      </c>
      <c r="I11" s="4">
        <v>4</v>
      </c>
      <c r="J11" s="17">
        <f t="shared" si="0"/>
        <v>13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18">
        <f t="shared" si="1"/>
        <v>1</v>
      </c>
      <c r="R11" s="19">
        <f t="shared" si="2"/>
        <v>7.6923076923076925</v>
      </c>
    </row>
    <row r="12" spans="1:18" x14ac:dyDescent="0.35">
      <c r="A12" s="8">
        <v>6</v>
      </c>
      <c r="B12" s="9" t="s">
        <v>15</v>
      </c>
      <c r="C12" s="9" t="s">
        <v>15</v>
      </c>
      <c r="D12" s="8">
        <v>2</v>
      </c>
      <c r="E12" s="8">
        <v>5</v>
      </c>
      <c r="F12" s="8">
        <v>2</v>
      </c>
      <c r="G12" s="8">
        <v>1</v>
      </c>
      <c r="H12" s="8">
        <v>0</v>
      </c>
      <c r="I12" s="8">
        <v>2</v>
      </c>
      <c r="J12" s="17">
        <f t="shared" si="0"/>
        <v>12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1</v>
      </c>
      <c r="Q12" s="18">
        <f t="shared" si="1"/>
        <v>1</v>
      </c>
      <c r="R12" s="20">
        <f t="shared" si="2"/>
        <v>8.3333333333333321</v>
      </c>
    </row>
    <row r="13" spans="1:18" x14ac:dyDescent="0.35">
      <c r="A13" s="4">
        <v>7</v>
      </c>
      <c r="B13" s="5" t="s">
        <v>16</v>
      </c>
      <c r="C13" s="5" t="s">
        <v>16</v>
      </c>
      <c r="D13" s="4">
        <v>3</v>
      </c>
      <c r="E13" s="4">
        <v>0</v>
      </c>
      <c r="F13" s="4">
        <v>3</v>
      </c>
      <c r="G13" s="4">
        <v>0</v>
      </c>
      <c r="H13" s="4">
        <v>0</v>
      </c>
      <c r="I13" s="4">
        <v>0</v>
      </c>
      <c r="J13" s="17">
        <f t="shared" si="0"/>
        <v>6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8">
        <f t="shared" si="1"/>
        <v>1</v>
      </c>
      <c r="R13" s="19">
        <f t="shared" si="2"/>
        <v>16.666666666666664</v>
      </c>
    </row>
    <row r="14" spans="1:18" x14ac:dyDescent="0.35">
      <c r="A14" s="8">
        <v>8</v>
      </c>
      <c r="B14" s="9" t="s">
        <v>52</v>
      </c>
      <c r="C14" s="9" t="s">
        <v>17</v>
      </c>
      <c r="D14" s="8">
        <v>6</v>
      </c>
      <c r="E14" s="8">
        <v>10</v>
      </c>
      <c r="F14" s="8">
        <v>7</v>
      </c>
      <c r="G14" s="8">
        <v>4</v>
      </c>
      <c r="H14" s="8">
        <v>3</v>
      </c>
      <c r="I14" s="8">
        <v>10</v>
      </c>
      <c r="J14" s="17">
        <f t="shared" si="0"/>
        <v>40</v>
      </c>
      <c r="K14" s="8">
        <v>1</v>
      </c>
      <c r="L14" s="8">
        <v>1</v>
      </c>
      <c r="M14" s="8">
        <v>1</v>
      </c>
      <c r="N14" s="8">
        <v>0</v>
      </c>
      <c r="O14" s="8">
        <v>0</v>
      </c>
      <c r="P14" s="8">
        <v>1</v>
      </c>
      <c r="Q14" s="18">
        <f t="shared" si="1"/>
        <v>4</v>
      </c>
      <c r="R14" s="20">
        <f t="shared" si="2"/>
        <v>10</v>
      </c>
    </row>
    <row r="15" spans="1:18" x14ac:dyDescent="0.35">
      <c r="A15" s="4">
        <v>9</v>
      </c>
      <c r="B15" s="5" t="s">
        <v>52</v>
      </c>
      <c r="C15" s="5" t="s">
        <v>18</v>
      </c>
      <c r="D15" s="4">
        <v>0</v>
      </c>
      <c r="E15" s="4">
        <v>5</v>
      </c>
      <c r="F15" s="4">
        <v>4</v>
      </c>
      <c r="G15" s="4">
        <v>1</v>
      </c>
      <c r="H15" s="4">
        <v>2</v>
      </c>
      <c r="I15" s="4">
        <v>5</v>
      </c>
      <c r="J15" s="17">
        <f t="shared" si="0"/>
        <v>17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18">
        <f t="shared" si="1"/>
        <v>1</v>
      </c>
      <c r="R15" s="19">
        <f t="shared" si="2"/>
        <v>5.8823529411764701</v>
      </c>
    </row>
    <row r="16" spans="1:18" x14ac:dyDescent="0.35">
      <c r="A16" s="8">
        <v>10</v>
      </c>
      <c r="B16" s="9" t="s">
        <v>53</v>
      </c>
      <c r="C16" s="9" t="s">
        <v>19</v>
      </c>
      <c r="D16" s="8">
        <v>4</v>
      </c>
      <c r="E16" s="8">
        <v>5</v>
      </c>
      <c r="F16" s="8">
        <v>3</v>
      </c>
      <c r="G16" s="8">
        <v>0</v>
      </c>
      <c r="H16" s="8">
        <v>2</v>
      </c>
      <c r="I16" s="8">
        <v>4</v>
      </c>
      <c r="J16" s="17">
        <f t="shared" si="0"/>
        <v>18</v>
      </c>
      <c r="K16" s="8">
        <v>0</v>
      </c>
      <c r="L16" s="8">
        <v>2</v>
      </c>
      <c r="M16" s="8">
        <v>0</v>
      </c>
      <c r="N16" s="8">
        <v>0</v>
      </c>
      <c r="O16" s="8">
        <v>1</v>
      </c>
      <c r="P16" s="8">
        <v>0</v>
      </c>
      <c r="Q16" s="18">
        <f t="shared" si="1"/>
        <v>3</v>
      </c>
      <c r="R16" s="20">
        <f t="shared" si="2"/>
        <v>16.666666666666664</v>
      </c>
    </row>
    <row r="17" spans="1:18" x14ac:dyDescent="0.35">
      <c r="A17" s="4">
        <v>11</v>
      </c>
      <c r="B17" s="5" t="s">
        <v>53</v>
      </c>
      <c r="C17" s="5" t="s">
        <v>20</v>
      </c>
      <c r="D17" s="4">
        <v>0</v>
      </c>
      <c r="E17" s="4">
        <v>5</v>
      </c>
      <c r="F17" s="4">
        <v>4</v>
      </c>
      <c r="G17" s="4">
        <v>1</v>
      </c>
      <c r="H17" s="4">
        <v>2</v>
      </c>
      <c r="I17" s="4">
        <v>5</v>
      </c>
      <c r="J17" s="17">
        <f t="shared" si="0"/>
        <v>17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8">
        <f t="shared" si="1"/>
        <v>0</v>
      </c>
      <c r="R17" s="19">
        <f t="shared" si="2"/>
        <v>0</v>
      </c>
    </row>
    <row r="18" spans="1:18" x14ac:dyDescent="0.35">
      <c r="A18" s="8">
        <v>12</v>
      </c>
      <c r="B18" s="9" t="s">
        <v>53</v>
      </c>
      <c r="C18" s="9" t="s">
        <v>21</v>
      </c>
      <c r="D18" s="8">
        <v>1</v>
      </c>
      <c r="E18" s="8">
        <v>2</v>
      </c>
      <c r="F18" s="8">
        <v>2</v>
      </c>
      <c r="G18" s="8">
        <v>1</v>
      </c>
      <c r="H18" s="8">
        <v>1</v>
      </c>
      <c r="I18" s="8">
        <v>8</v>
      </c>
      <c r="J18" s="17">
        <f t="shared" si="0"/>
        <v>15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18">
        <f t="shared" si="1"/>
        <v>0</v>
      </c>
      <c r="R18" s="20">
        <f t="shared" si="2"/>
        <v>0</v>
      </c>
    </row>
    <row r="19" spans="1:18" x14ac:dyDescent="0.35">
      <c r="A19" s="4">
        <v>13</v>
      </c>
      <c r="B19" s="5" t="s">
        <v>22</v>
      </c>
      <c r="C19" s="5" t="s">
        <v>22</v>
      </c>
      <c r="D19" s="4">
        <v>1</v>
      </c>
      <c r="E19" s="4">
        <v>7</v>
      </c>
      <c r="F19" s="4">
        <v>3</v>
      </c>
      <c r="G19" s="4">
        <v>0</v>
      </c>
      <c r="H19" s="4">
        <v>0</v>
      </c>
      <c r="I19" s="4">
        <v>4</v>
      </c>
      <c r="J19" s="17">
        <f t="shared" si="0"/>
        <v>15</v>
      </c>
      <c r="K19" s="4">
        <v>0</v>
      </c>
      <c r="L19" s="4">
        <v>2</v>
      </c>
      <c r="M19" s="4">
        <v>1</v>
      </c>
      <c r="N19" s="4">
        <v>0</v>
      </c>
      <c r="O19" s="4">
        <v>0</v>
      </c>
      <c r="P19" s="4">
        <v>0</v>
      </c>
      <c r="Q19" s="18">
        <f t="shared" si="1"/>
        <v>3</v>
      </c>
      <c r="R19" s="19">
        <f t="shared" si="2"/>
        <v>20</v>
      </c>
    </row>
    <row r="20" spans="1:18" x14ac:dyDescent="0.35">
      <c r="A20" s="8">
        <v>14</v>
      </c>
      <c r="B20" s="9" t="s">
        <v>23</v>
      </c>
      <c r="C20" s="9" t="s">
        <v>23</v>
      </c>
      <c r="D20" s="8">
        <v>2</v>
      </c>
      <c r="E20" s="8">
        <v>2</v>
      </c>
      <c r="F20" s="8">
        <v>2</v>
      </c>
      <c r="G20" s="8">
        <v>2</v>
      </c>
      <c r="H20" s="8">
        <v>0</v>
      </c>
      <c r="I20" s="8">
        <v>6</v>
      </c>
      <c r="J20" s="17">
        <f t="shared" si="0"/>
        <v>14</v>
      </c>
      <c r="K20" s="8">
        <v>2</v>
      </c>
      <c r="L20" s="8">
        <v>1</v>
      </c>
      <c r="M20" s="8">
        <v>0</v>
      </c>
      <c r="N20" s="8">
        <v>0</v>
      </c>
      <c r="O20" s="8">
        <v>0</v>
      </c>
      <c r="P20" s="8">
        <v>0</v>
      </c>
      <c r="Q20" s="18">
        <f t="shared" si="1"/>
        <v>3</v>
      </c>
      <c r="R20" s="20">
        <f t="shared" si="2"/>
        <v>21.428571428571427</v>
      </c>
    </row>
    <row r="21" spans="1:18" x14ac:dyDescent="0.35">
      <c r="A21" s="4">
        <v>15</v>
      </c>
      <c r="B21" s="5" t="s">
        <v>24</v>
      </c>
      <c r="C21" s="5" t="s">
        <v>24</v>
      </c>
      <c r="D21" s="4">
        <v>4</v>
      </c>
      <c r="E21" s="4">
        <v>5</v>
      </c>
      <c r="F21" s="4">
        <v>5</v>
      </c>
      <c r="G21" s="4">
        <v>1</v>
      </c>
      <c r="H21" s="4">
        <v>1</v>
      </c>
      <c r="I21" s="4">
        <v>3</v>
      </c>
      <c r="J21" s="17">
        <f t="shared" si="0"/>
        <v>19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2</v>
      </c>
      <c r="Q21" s="18">
        <f t="shared" si="1"/>
        <v>2</v>
      </c>
      <c r="R21" s="19">
        <f t="shared" si="2"/>
        <v>10.526315789473683</v>
      </c>
    </row>
    <row r="22" spans="1:18" x14ac:dyDescent="0.35">
      <c r="A22" s="8">
        <v>16</v>
      </c>
      <c r="B22" s="9" t="s">
        <v>54</v>
      </c>
      <c r="C22" s="9" t="s">
        <v>25</v>
      </c>
      <c r="D22" s="8">
        <v>3</v>
      </c>
      <c r="E22" s="8">
        <v>7</v>
      </c>
      <c r="F22" s="8">
        <v>4</v>
      </c>
      <c r="G22" s="8">
        <v>0</v>
      </c>
      <c r="H22" s="8">
        <v>2</v>
      </c>
      <c r="I22" s="8">
        <v>5</v>
      </c>
      <c r="J22" s="17">
        <f t="shared" si="0"/>
        <v>21</v>
      </c>
      <c r="K22" s="8">
        <v>0</v>
      </c>
      <c r="L22" s="8">
        <v>1</v>
      </c>
      <c r="M22" s="8">
        <v>0</v>
      </c>
      <c r="N22" s="8">
        <v>0</v>
      </c>
      <c r="O22" s="8">
        <v>0</v>
      </c>
      <c r="P22" s="8">
        <v>1</v>
      </c>
      <c r="Q22" s="18">
        <f t="shared" si="1"/>
        <v>2</v>
      </c>
      <c r="R22" s="20">
        <f t="shared" si="2"/>
        <v>9.5238095238095237</v>
      </c>
    </row>
    <row r="23" spans="1:18" x14ac:dyDescent="0.35">
      <c r="A23" s="4">
        <v>17</v>
      </c>
      <c r="B23" s="5" t="s">
        <v>54</v>
      </c>
      <c r="C23" s="5" t="s">
        <v>26</v>
      </c>
      <c r="D23" s="4">
        <v>1</v>
      </c>
      <c r="E23" s="4">
        <v>4</v>
      </c>
      <c r="F23" s="4">
        <v>1</v>
      </c>
      <c r="G23" s="4">
        <v>1</v>
      </c>
      <c r="H23" s="4">
        <v>0</v>
      </c>
      <c r="I23" s="4">
        <v>4</v>
      </c>
      <c r="J23" s="17">
        <f t="shared" si="0"/>
        <v>11</v>
      </c>
      <c r="K23" s="4">
        <v>0</v>
      </c>
      <c r="L23" s="4">
        <v>2</v>
      </c>
      <c r="M23" s="4">
        <v>0</v>
      </c>
      <c r="N23" s="4">
        <v>0</v>
      </c>
      <c r="O23" s="4">
        <v>0</v>
      </c>
      <c r="P23" s="4">
        <v>0</v>
      </c>
      <c r="Q23" s="18">
        <f t="shared" si="1"/>
        <v>2</v>
      </c>
      <c r="R23" s="19">
        <f t="shared" si="2"/>
        <v>18.181818181818183</v>
      </c>
    </row>
    <row r="24" spans="1:18" x14ac:dyDescent="0.35">
      <c r="A24" s="8">
        <v>18</v>
      </c>
      <c r="B24" s="9" t="s">
        <v>55</v>
      </c>
      <c r="C24" s="9" t="s">
        <v>27</v>
      </c>
      <c r="D24" s="8">
        <v>3</v>
      </c>
      <c r="E24" s="8">
        <v>0</v>
      </c>
      <c r="F24" s="8">
        <v>7</v>
      </c>
      <c r="G24" s="8">
        <v>2</v>
      </c>
      <c r="H24" s="8">
        <v>0</v>
      </c>
      <c r="I24" s="8">
        <v>6</v>
      </c>
      <c r="J24" s="17">
        <f t="shared" si="0"/>
        <v>18</v>
      </c>
      <c r="K24" s="8">
        <v>1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18">
        <f t="shared" si="1"/>
        <v>2</v>
      </c>
      <c r="R24" s="20">
        <f t="shared" si="2"/>
        <v>11.111111111111111</v>
      </c>
    </row>
    <row r="25" spans="1:18" x14ac:dyDescent="0.35">
      <c r="A25" s="4">
        <v>19</v>
      </c>
      <c r="B25" s="5" t="s">
        <v>55</v>
      </c>
      <c r="C25" s="5" t="s">
        <v>28</v>
      </c>
      <c r="D25" s="4">
        <v>1</v>
      </c>
      <c r="E25" s="4">
        <v>4</v>
      </c>
      <c r="F25" s="4">
        <v>3</v>
      </c>
      <c r="G25" s="4">
        <v>1</v>
      </c>
      <c r="H25" s="4">
        <v>1</v>
      </c>
      <c r="I25" s="4">
        <v>2</v>
      </c>
      <c r="J25" s="17">
        <f t="shared" si="0"/>
        <v>12</v>
      </c>
      <c r="K25" s="4">
        <v>0</v>
      </c>
      <c r="L25" s="4">
        <v>1</v>
      </c>
      <c r="M25" s="4">
        <v>1</v>
      </c>
      <c r="N25" s="4">
        <v>0</v>
      </c>
      <c r="O25" s="4">
        <v>1</v>
      </c>
      <c r="P25" s="4">
        <v>0</v>
      </c>
      <c r="Q25" s="18">
        <f t="shared" si="1"/>
        <v>3</v>
      </c>
      <c r="R25" s="19">
        <f t="shared" si="2"/>
        <v>25</v>
      </c>
    </row>
    <row r="26" spans="1:18" x14ac:dyDescent="0.35">
      <c r="A26" s="8">
        <v>20</v>
      </c>
      <c r="B26" s="9" t="s">
        <v>29</v>
      </c>
      <c r="C26" s="9" t="s">
        <v>29</v>
      </c>
      <c r="D26" s="8">
        <v>0</v>
      </c>
      <c r="E26" s="8">
        <v>7</v>
      </c>
      <c r="F26" s="8">
        <v>4</v>
      </c>
      <c r="G26" s="8">
        <v>1</v>
      </c>
      <c r="H26" s="8">
        <v>0</v>
      </c>
      <c r="I26" s="8">
        <v>3</v>
      </c>
      <c r="J26" s="17">
        <f t="shared" si="0"/>
        <v>15</v>
      </c>
      <c r="K26" s="8">
        <v>0</v>
      </c>
      <c r="L26" s="8">
        <v>0</v>
      </c>
      <c r="M26" s="8">
        <v>2</v>
      </c>
      <c r="N26" s="8">
        <v>0</v>
      </c>
      <c r="O26" s="8">
        <v>0</v>
      </c>
      <c r="P26" s="8">
        <v>0</v>
      </c>
      <c r="Q26" s="18">
        <f t="shared" si="1"/>
        <v>2</v>
      </c>
      <c r="R26" s="20">
        <f t="shared" si="2"/>
        <v>13.333333333333334</v>
      </c>
    </row>
    <row r="27" spans="1:18" x14ac:dyDescent="0.35">
      <c r="A27" s="4">
        <v>21</v>
      </c>
      <c r="B27" s="5" t="s">
        <v>56</v>
      </c>
      <c r="C27" s="5" t="s">
        <v>30</v>
      </c>
      <c r="D27" s="4">
        <v>2</v>
      </c>
      <c r="E27" s="4">
        <v>7</v>
      </c>
      <c r="F27" s="4">
        <v>2</v>
      </c>
      <c r="G27" s="4">
        <v>3</v>
      </c>
      <c r="H27" s="4">
        <v>2</v>
      </c>
      <c r="I27" s="4">
        <v>0</v>
      </c>
      <c r="J27" s="17">
        <f t="shared" si="0"/>
        <v>16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18">
        <f t="shared" si="1"/>
        <v>1</v>
      </c>
      <c r="R27" s="19">
        <f t="shared" si="2"/>
        <v>6.25</v>
      </c>
    </row>
    <row r="28" spans="1:18" x14ac:dyDescent="0.35">
      <c r="A28" s="8">
        <v>22</v>
      </c>
      <c r="B28" s="9" t="s">
        <v>56</v>
      </c>
      <c r="C28" s="9" t="s">
        <v>31</v>
      </c>
      <c r="D28" s="8">
        <v>0</v>
      </c>
      <c r="E28" s="8">
        <v>2</v>
      </c>
      <c r="F28" s="8">
        <v>5</v>
      </c>
      <c r="G28" s="8">
        <v>5</v>
      </c>
      <c r="H28" s="8">
        <v>4</v>
      </c>
      <c r="I28" s="8">
        <v>5</v>
      </c>
      <c r="J28" s="17">
        <f t="shared" si="0"/>
        <v>21</v>
      </c>
      <c r="K28" s="8">
        <v>0</v>
      </c>
      <c r="L28" s="8">
        <v>0</v>
      </c>
      <c r="M28" s="8">
        <v>0</v>
      </c>
      <c r="N28" s="8">
        <v>1</v>
      </c>
      <c r="O28" s="8">
        <v>0</v>
      </c>
      <c r="P28" s="8">
        <v>0</v>
      </c>
      <c r="Q28" s="18">
        <f t="shared" si="1"/>
        <v>1</v>
      </c>
      <c r="R28" s="20">
        <f t="shared" si="2"/>
        <v>4.7619047619047619</v>
      </c>
    </row>
    <row r="29" spans="1:18" x14ac:dyDescent="0.35">
      <c r="A29" s="4">
        <v>23</v>
      </c>
      <c r="B29" s="5" t="s">
        <v>32</v>
      </c>
      <c r="C29" s="5" t="s">
        <v>32</v>
      </c>
      <c r="D29" s="4">
        <v>3</v>
      </c>
      <c r="E29" s="4">
        <v>3</v>
      </c>
      <c r="F29" s="4">
        <v>0</v>
      </c>
      <c r="G29" s="4">
        <v>2</v>
      </c>
      <c r="H29" s="4">
        <v>0</v>
      </c>
      <c r="I29" s="4">
        <v>2</v>
      </c>
      <c r="J29" s="17">
        <f t="shared" si="0"/>
        <v>10</v>
      </c>
      <c r="K29" s="4">
        <v>0</v>
      </c>
      <c r="L29" s="4">
        <v>1</v>
      </c>
      <c r="M29" s="4">
        <v>0</v>
      </c>
      <c r="N29" s="4">
        <v>1</v>
      </c>
      <c r="O29" s="4">
        <v>0</v>
      </c>
      <c r="P29" s="4">
        <v>0</v>
      </c>
      <c r="Q29" s="18">
        <f t="shared" si="1"/>
        <v>2</v>
      </c>
      <c r="R29" s="19">
        <f t="shared" si="2"/>
        <v>20</v>
      </c>
    </row>
    <row r="30" spans="1:18" x14ac:dyDescent="0.35">
      <c r="A30" s="8">
        <v>24</v>
      </c>
      <c r="B30" s="9" t="s">
        <v>33</v>
      </c>
      <c r="C30" s="9" t="s">
        <v>33</v>
      </c>
      <c r="D30" s="8">
        <v>6</v>
      </c>
      <c r="E30" s="8">
        <v>5</v>
      </c>
      <c r="F30" s="8">
        <v>0</v>
      </c>
      <c r="G30" s="8">
        <v>2</v>
      </c>
      <c r="H30" s="8">
        <v>1</v>
      </c>
      <c r="I30" s="8">
        <v>1</v>
      </c>
      <c r="J30" s="17">
        <f t="shared" si="0"/>
        <v>15</v>
      </c>
      <c r="K30" s="8">
        <v>0</v>
      </c>
      <c r="L30" s="8">
        <v>3</v>
      </c>
      <c r="M30" s="8">
        <v>0</v>
      </c>
      <c r="N30" s="8">
        <v>1</v>
      </c>
      <c r="O30" s="8">
        <v>0</v>
      </c>
      <c r="P30" s="8">
        <v>1</v>
      </c>
      <c r="Q30" s="18">
        <f t="shared" si="1"/>
        <v>5</v>
      </c>
      <c r="R30" s="20">
        <f t="shared" si="2"/>
        <v>33.333333333333329</v>
      </c>
    </row>
    <row r="31" spans="1:18" x14ac:dyDescent="0.35">
      <c r="A31" s="4">
        <v>25</v>
      </c>
      <c r="B31" s="5" t="s">
        <v>34</v>
      </c>
      <c r="C31" s="5" t="s">
        <v>34</v>
      </c>
      <c r="D31" s="4">
        <v>0</v>
      </c>
      <c r="E31" s="4">
        <v>3</v>
      </c>
      <c r="F31" s="4">
        <v>3</v>
      </c>
      <c r="G31" s="4">
        <v>2</v>
      </c>
      <c r="H31" s="4">
        <v>1</v>
      </c>
      <c r="I31" s="4">
        <v>7</v>
      </c>
      <c r="J31" s="17">
        <f t="shared" si="0"/>
        <v>16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18">
        <f t="shared" si="1"/>
        <v>1</v>
      </c>
      <c r="R31" s="19">
        <f t="shared" si="2"/>
        <v>6.25</v>
      </c>
    </row>
    <row r="32" spans="1:18" ht="21.75" customHeight="1" x14ac:dyDescent="0.35">
      <c r="A32" s="26" t="s">
        <v>35</v>
      </c>
      <c r="B32" s="26"/>
      <c r="C32" s="26"/>
      <c r="D32" s="21">
        <f t="shared" ref="D32:P32" si="3">SUM(D7:D31)</f>
        <v>62</v>
      </c>
      <c r="E32" s="21">
        <f t="shared" si="3"/>
        <v>115</v>
      </c>
      <c r="F32" s="21">
        <f t="shared" si="3"/>
        <v>82</v>
      </c>
      <c r="G32" s="21">
        <f t="shared" si="3"/>
        <v>40</v>
      </c>
      <c r="H32" s="21">
        <f t="shared" si="3"/>
        <v>27</v>
      </c>
      <c r="I32" s="21">
        <f t="shared" si="3"/>
        <v>92</v>
      </c>
      <c r="J32" s="22">
        <f t="shared" si="3"/>
        <v>418</v>
      </c>
      <c r="K32" s="23">
        <f t="shared" si="3"/>
        <v>9</v>
      </c>
      <c r="L32" s="23">
        <f t="shared" si="3"/>
        <v>16</v>
      </c>
      <c r="M32" s="23">
        <f t="shared" si="3"/>
        <v>8</v>
      </c>
      <c r="N32" s="23">
        <f t="shared" si="3"/>
        <v>3</v>
      </c>
      <c r="O32" s="23">
        <f t="shared" si="3"/>
        <v>3</v>
      </c>
      <c r="P32" s="23">
        <f t="shared" si="3"/>
        <v>6</v>
      </c>
      <c r="Q32" s="24">
        <f ca="1">IFERROR(Q32/J32*100,0)</f>
        <v>0</v>
      </c>
    </row>
    <row r="34" spans="1:18" x14ac:dyDescent="0.35">
      <c r="A34" s="25" t="s">
        <v>64</v>
      </c>
    </row>
    <row r="35" spans="1:18" x14ac:dyDescent="0.35">
      <c r="A35" s="33" t="s">
        <v>58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 x14ac:dyDescent="0.35">
      <c r="A36" s="33" t="s">
        <v>59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x14ac:dyDescent="0.35">
      <c r="A37" s="33" t="s">
        <v>60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 x14ac:dyDescent="0.35">
      <c r="A38" s="33" t="s">
        <v>61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</sheetData>
  <mergeCells count="15">
    <mergeCell ref="A1:R1"/>
    <mergeCell ref="A2:R2"/>
    <mergeCell ref="A4:A6"/>
    <mergeCell ref="B4:B6"/>
    <mergeCell ref="C4:C6"/>
    <mergeCell ref="D4:J4"/>
    <mergeCell ref="K4:Q4"/>
    <mergeCell ref="R4:R6"/>
    <mergeCell ref="D5:I5"/>
    <mergeCell ref="K5:P5"/>
    <mergeCell ref="A32:C32"/>
    <mergeCell ref="A35:R35"/>
    <mergeCell ref="A36:R36"/>
    <mergeCell ref="A37:R37"/>
    <mergeCell ref="A38:R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24" activeCellId="1" sqref="Q31 D24"/>
    </sheetView>
  </sheetViews>
  <sheetFormatPr defaultColWidth="8.6328125" defaultRowHeight="14.5" x14ac:dyDescent="0.35"/>
  <cols>
    <col min="1" max="1" width="5" customWidth="1"/>
    <col min="2" max="2" width="13" customWidth="1"/>
    <col min="3" max="3" width="16" customWidth="1"/>
    <col min="4" max="17" width="7.453125" customWidth="1"/>
    <col min="18" max="18" width="9" customWidth="1"/>
  </cols>
  <sheetData>
    <row r="1" spans="1:18" ht="39.75" customHeight="1" x14ac:dyDescent="0.35">
      <c r="A1" s="27" t="s">
        <v>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" customHeight="1" x14ac:dyDescent="0.3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6" customHeight="1" x14ac:dyDescent="0.35"/>
    <row r="4" spans="1:18" ht="21.75" customHeight="1" x14ac:dyDescent="0.35">
      <c r="A4" s="29" t="s">
        <v>2</v>
      </c>
      <c r="B4" s="29" t="s">
        <v>37</v>
      </c>
      <c r="C4" s="29" t="s">
        <v>3</v>
      </c>
      <c r="D4" s="34" t="s">
        <v>38</v>
      </c>
      <c r="E4" s="34"/>
      <c r="F4" s="34"/>
      <c r="G4" s="34"/>
      <c r="H4" s="34"/>
      <c r="I4" s="34"/>
      <c r="J4" s="34"/>
      <c r="K4" s="35" t="s">
        <v>39</v>
      </c>
      <c r="L4" s="35"/>
      <c r="M4" s="35"/>
      <c r="N4" s="35"/>
      <c r="O4" s="35"/>
      <c r="P4" s="35"/>
      <c r="Q4" s="35"/>
      <c r="R4" s="36" t="s">
        <v>40</v>
      </c>
    </row>
    <row r="5" spans="1:18" ht="18" customHeight="1" x14ac:dyDescent="0.35">
      <c r="A5" s="29"/>
      <c r="B5" s="29"/>
      <c r="C5" s="29"/>
      <c r="D5" s="37" t="s">
        <v>41</v>
      </c>
      <c r="E5" s="37"/>
      <c r="F5" s="37"/>
      <c r="G5" s="37"/>
      <c r="H5" s="37"/>
      <c r="I5" s="37"/>
      <c r="J5" s="15" t="s">
        <v>42</v>
      </c>
      <c r="K5" s="38" t="s">
        <v>41</v>
      </c>
      <c r="L5" s="38"/>
      <c r="M5" s="38"/>
      <c r="N5" s="38"/>
      <c r="O5" s="38"/>
      <c r="P5" s="38"/>
      <c r="Q5" s="16" t="s">
        <v>43</v>
      </c>
      <c r="R5" s="36"/>
    </row>
    <row r="6" spans="1:18" ht="18" customHeight="1" x14ac:dyDescent="0.35">
      <c r="A6" s="29"/>
      <c r="B6" s="29"/>
      <c r="C6" s="29"/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K6" s="2" t="s">
        <v>44</v>
      </c>
      <c r="L6" s="2" t="s">
        <v>45</v>
      </c>
      <c r="M6" s="2" t="s">
        <v>46</v>
      </c>
      <c r="N6" s="2" t="s">
        <v>47</v>
      </c>
      <c r="O6" s="2" t="s">
        <v>48</v>
      </c>
      <c r="P6" s="2" t="s">
        <v>49</v>
      </c>
      <c r="R6" s="36"/>
    </row>
    <row r="7" spans="1:18" x14ac:dyDescent="0.35">
      <c r="A7" s="4">
        <v>1</v>
      </c>
      <c r="B7" s="5" t="s">
        <v>50</v>
      </c>
      <c r="C7" s="5" t="s">
        <v>10</v>
      </c>
      <c r="D7" s="4">
        <v>4</v>
      </c>
      <c r="E7" s="4">
        <v>4</v>
      </c>
      <c r="F7" s="4">
        <v>2</v>
      </c>
      <c r="G7" s="4">
        <v>1</v>
      </c>
      <c r="H7" s="4">
        <v>0</v>
      </c>
      <c r="I7" s="4">
        <v>1</v>
      </c>
      <c r="J7" s="17">
        <f t="shared" ref="J7:J31" si="0">SUM(D7:I7)</f>
        <v>12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8">
        <f t="shared" ref="Q7:Q31" si="1">SUM(K7:P7)</f>
        <v>0</v>
      </c>
      <c r="R7" s="19">
        <f t="shared" ref="R7:R31" si="2">IFERROR(Q7/J7*100,0)</f>
        <v>0</v>
      </c>
    </row>
    <row r="8" spans="1:18" x14ac:dyDescent="0.35">
      <c r="A8" s="8">
        <v>2</v>
      </c>
      <c r="B8" s="9" t="s">
        <v>50</v>
      </c>
      <c r="C8" s="9" t="s">
        <v>11</v>
      </c>
      <c r="D8" s="8">
        <v>8</v>
      </c>
      <c r="E8" s="8">
        <v>7</v>
      </c>
      <c r="F8" s="8">
        <v>7</v>
      </c>
      <c r="G8" s="8">
        <v>3</v>
      </c>
      <c r="H8" s="8">
        <v>2</v>
      </c>
      <c r="I8" s="8">
        <v>4</v>
      </c>
      <c r="J8" s="17">
        <f t="shared" si="0"/>
        <v>31</v>
      </c>
      <c r="K8" s="8">
        <v>2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18">
        <f t="shared" si="1"/>
        <v>3</v>
      </c>
      <c r="R8" s="20">
        <f t="shared" si="2"/>
        <v>9.67741935483871</v>
      </c>
    </row>
    <row r="9" spans="1:18" x14ac:dyDescent="0.35">
      <c r="A9" s="4">
        <v>3</v>
      </c>
      <c r="B9" s="5" t="s">
        <v>51</v>
      </c>
      <c r="C9" s="5" t="s">
        <v>12</v>
      </c>
      <c r="D9" s="4">
        <v>3</v>
      </c>
      <c r="E9" s="4">
        <v>8</v>
      </c>
      <c r="F9" s="4">
        <v>6</v>
      </c>
      <c r="G9" s="4">
        <v>2</v>
      </c>
      <c r="H9" s="4">
        <v>3</v>
      </c>
      <c r="I9" s="4">
        <v>4</v>
      </c>
      <c r="J9" s="17">
        <f t="shared" si="0"/>
        <v>26</v>
      </c>
      <c r="K9" s="4">
        <v>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18">
        <f t="shared" si="1"/>
        <v>1</v>
      </c>
      <c r="R9" s="19">
        <f t="shared" si="2"/>
        <v>3.8461538461538463</v>
      </c>
    </row>
    <row r="10" spans="1:18" x14ac:dyDescent="0.35">
      <c r="A10" s="8">
        <v>4</v>
      </c>
      <c r="B10" s="9" t="s">
        <v>51</v>
      </c>
      <c r="C10" s="9" t="s">
        <v>13</v>
      </c>
      <c r="D10" s="8">
        <v>4</v>
      </c>
      <c r="E10" s="8">
        <v>9</v>
      </c>
      <c r="F10" s="8">
        <v>5</v>
      </c>
      <c r="G10" s="8">
        <v>1</v>
      </c>
      <c r="H10" s="8">
        <v>0</v>
      </c>
      <c r="I10" s="8">
        <v>3</v>
      </c>
      <c r="J10" s="17">
        <f t="shared" si="0"/>
        <v>22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18">
        <f t="shared" si="1"/>
        <v>0</v>
      </c>
      <c r="R10" s="20">
        <f t="shared" si="2"/>
        <v>0</v>
      </c>
    </row>
    <row r="11" spans="1:18" x14ac:dyDescent="0.35">
      <c r="A11" s="4">
        <v>5</v>
      </c>
      <c r="B11" s="5" t="s">
        <v>14</v>
      </c>
      <c r="C11" s="5" t="s">
        <v>14</v>
      </c>
      <c r="D11" s="4">
        <v>3</v>
      </c>
      <c r="E11" s="4">
        <v>4</v>
      </c>
      <c r="F11" s="4">
        <v>2</v>
      </c>
      <c r="G11" s="4">
        <v>1</v>
      </c>
      <c r="H11" s="4">
        <v>0</v>
      </c>
      <c r="I11" s="4">
        <v>3</v>
      </c>
      <c r="J11" s="17">
        <f t="shared" si="0"/>
        <v>13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18">
        <f t="shared" si="1"/>
        <v>2</v>
      </c>
      <c r="R11" s="19">
        <f t="shared" si="2"/>
        <v>15.384615384615385</v>
      </c>
    </row>
    <row r="12" spans="1:18" x14ac:dyDescent="0.35">
      <c r="A12" s="8">
        <v>6</v>
      </c>
      <c r="B12" s="9" t="s">
        <v>15</v>
      </c>
      <c r="C12" s="9" t="s">
        <v>15</v>
      </c>
      <c r="D12" s="8">
        <v>1</v>
      </c>
      <c r="E12" s="8">
        <v>2</v>
      </c>
      <c r="F12" s="8">
        <v>1</v>
      </c>
      <c r="G12" s="8">
        <v>3</v>
      </c>
      <c r="H12" s="8">
        <v>0</v>
      </c>
      <c r="I12" s="8">
        <v>2</v>
      </c>
      <c r="J12" s="17">
        <f t="shared" si="0"/>
        <v>9</v>
      </c>
      <c r="K12" s="8">
        <v>0</v>
      </c>
      <c r="L12" s="8">
        <v>0</v>
      </c>
      <c r="M12" s="8">
        <v>0</v>
      </c>
      <c r="N12" s="8">
        <v>1</v>
      </c>
      <c r="O12" s="8">
        <v>0</v>
      </c>
      <c r="P12" s="8">
        <v>0</v>
      </c>
      <c r="Q12" s="18">
        <f t="shared" si="1"/>
        <v>1</v>
      </c>
      <c r="R12" s="20">
        <f t="shared" si="2"/>
        <v>11.111111111111111</v>
      </c>
    </row>
    <row r="13" spans="1:18" x14ac:dyDescent="0.35">
      <c r="A13" s="4">
        <v>7</v>
      </c>
      <c r="B13" s="5" t="s">
        <v>16</v>
      </c>
      <c r="C13" s="5" t="s">
        <v>16</v>
      </c>
      <c r="D13" s="4">
        <v>2</v>
      </c>
      <c r="E13" s="4">
        <v>2</v>
      </c>
      <c r="F13" s="4">
        <v>2</v>
      </c>
      <c r="G13" s="4">
        <v>4</v>
      </c>
      <c r="H13" s="4">
        <v>0</v>
      </c>
      <c r="I13" s="4">
        <v>1</v>
      </c>
      <c r="J13" s="17">
        <f t="shared" si="0"/>
        <v>11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8">
        <f t="shared" si="1"/>
        <v>0</v>
      </c>
      <c r="R13" s="19">
        <f t="shared" si="2"/>
        <v>0</v>
      </c>
    </row>
    <row r="14" spans="1:18" x14ac:dyDescent="0.35">
      <c r="A14" s="8">
        <v>8</v>
      </c>
      <c r="B14" s="9" t="s">
        <v>52</v>
      </c>
      <c r="C14" s="9" t="s">
        <v>17</v>
      </c>
      <c r="D14" s="8">
        <v>6</v>
      </c>
      <c r="E14" s="8">
        <v>5</v>
      </c>
      <c r="F14" s="8">
        <v>4</v>
      </c>
      <c r="G14" s="8">
        <v>2</v>
      </c>
      <c r="H14" s="8">
        <v>2</v>
      </c>
      <c r="I14" s="8">
        <v>9</v>
      </c>
      <c r="J14" s="17">
        <f t="shared" si="0"/>
        <v>28</v>
      </c>
      <c r="K14" s="8">
        <v>0</v>
      </c>
      <c r="L14" s="8">
        <v>0</v>
      </c>
      <c r="M14" s="8">
        <v>0</v>
      </c>
      <c r="N14" s="8">
        <v>1</v>
      </c>
      <c r="O14" s="8">
        <v>0</v>
      </c>
      <c r="P14" s="8">
        <v>0</v>
      </c>
      <c r="Q14" s="18">
        <f t="shared" si="1"/>
        <v>1</v>
      </c>
      <c r="R14" s="20">
        <f t="shared" si="2"/>
        <v>3.5714285714285712</v>
      </c>
    </row>
    <row r="15" spans="1:18" x14ac:dyDescent="0.35">
      <c r="A15" s="4">
        <v>9</v>
      </c>
      <c r="B15" s="5" t="s">
        <v>52</v>
      </c>
      <c r="C15" s="5" t="s">
        <v>18</v>
      </c>
      <c r="D15" s="4">
        <v>3</v>
      </c>
      <c r="E15" s="4">
        <v>1</v>
      </c>
      <c r="F15" s="4">
        <v>2</v>
      </c>
      <c r="G15" s="4">
        <v>4</v>
      </c>
      <c r="H15" s="4">
        <v>0</v>
      </c>
      <c r="I15" s="4">
        <v>1</v>
      </c>
      <c r="J15" s="17">
        <f t="shared" si="0"/>
        <v>11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8">
        <f t="shared" si="1"/>
        <v>0</v>
      </c>
      <c r="R15" s="19">
        <f t="shared" si="2"/>
        <v>0</v>
      </c>
    </row>
    <row r="16" spans="1:18" x14ac:dyDescent="0.35">
      <c r="A16" s="8">
        <v>10</v>
      </c>
      <c r="B16" s="9" t="s">
        <v>53</v>
      </c>
      <c r="C16" s="9" t="s">
        <v>19</v>
      </c>
      <c r="D16" s="8">
        <v>4</v>
      </c>
      <c r="E16" s="8">
        <v>5</v>
      </c>
      <c r="F16" s="8">
        <v>1</v>
      </c>
      <c r="G16" s="8">
        <v>3</v>
      </c>
      <c r="H16" s="8">
        <v>0</v>
      </c>
      <c r="I16" s="8">
        <v>2</v>
      </c>
      <c r="J16" s="17">
        <f t="shared" si="0"/>
        <v>15</v>
      </c>
      <c r="K16" s="8">
        <v>0</v>
      </c>
      <c r="L16" s="8">
        <v>1</v>
      </c>
      <c r="M16" s="8">
        <v>0</v>
      </c>
      <c r="N16" s="8">
        <v>0</v>
      </c>
      <c r="O16" s="8">
        <v>0</v>
      </c>
      <c r="P16" s="8">
        <v>2</v>
      </c>
      <c r="Q16" s="18">
        <f t="shared" si="1"/>
        <v>3</v>
      </c>
      <c r="R16" s="20">
        <f t="shared" si="2"/>
        <v>20</v>
      </c>
    </row>
    <row r="17" spans="1:18" x14ac:dyDescent="0.35">
      <c r="A17" s="4">
        <v>11</v>
      </c>
      <c r="B17" s="5" t="s">
        <v>53</v>
      </c>
      <c r="C17" s="5" t="s">
        <v>20</v>
      </c>
      <c r="D17" s="4">
        <v>4</v>
      </c>
      <c r="E17" s="4">
        <v>8</v>
      </c>
      <c r="F17" s="4">
        <v>3</v>
      </c>
      <c r="G17" s="4">
        <v>1</v>
      </c>
      <c r="H17" s="4">
        <v>0</v>
      </c>
      <c r="I17" s="4">
        <v>3</v>
      </c>
      <c r="J17" s="17">
        <f>SUM(D17:I17)</f>
        <v>19</v>
      </c>
      <c r="K17" s="4">
        <v>2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18">
        <f t="shared" si="1"/>
        <v>3</v>
      </c>
      <c r="R17" s="19">
        <f t="shared" si="2"/>
        <v>15.789473684210526</v>
      </c>
    </row>
    <row r="18" spans="1:18" x14ac:dyDescent="0.35">
      <c r="A18" s="8">
        <v>12</v>
      </c>
      <c r="B18" s="9" t="s">
        <v>53</v>
      </c>
      <c r="C18" s="9" t="s">
        <v>21</v>
      </c>
      <c r="D18" s="8">
        <v>1</v>
      </c>
      <c r="E18" s="8">
        <v>2</v>
      </c>
      <c r="F18" s="8">
        <v>6</v>
      </c>
      <c r="G18" s="8">
        <v>4</v>
      </c>
      <c r="H18" s="8">
        <v>1</v>
      </c>
      <c r="I18" s="8">
        <v>11</v>
      </c>
      <c r="J18" s="17">
        <f>SUM(D18:I18)</f>
        <v>25</v>
      </c>
      <c r="K18" s="8">
        <v>2</v>
      </c>
      <c r="L18" s="8">
        <v>0</v>
      </c>
      <c r="M18" s="8">
        <v>1</v>
      </c>
      <c r="N18" s="8">
        <v>0</v>
      </c>
      <c r="O18" s="8">
        <v>0</v>
      </c>
      <c r="P18" s="8">
        <v>1</v>
      </c>
      <c r="Q18" s="18">
        <f t="shared" si="1"/>
        <v>4</v>
      </c>
      <c r="R18" s="20">
        <f t="shared" si="2"/>
        <v>16</v>
      </c>
    </row>
    <row r="19" spans="1:18" x14ac:dyDescent="0.35">
      <c r="A19" s="4">
        <v>13</v>
      </c>
      <c r="B19" s="5" t="s">
        <v>22</v>
      </c>
      <c r="C19" s="5" t="s">
        <v>22</v>
      </c>
      <c r="D19" s="4">
        <v>3</v>
      </c>
      <c r="E19" s="4">
        <v>3</v>
      </c>
      <c r="F19" s="4">
        <v>4</v>
      </c>
      <c r="G19" s="4">
        <v>1</v>
      </c>
      <c r="H19" s="4">
        <v>0</v>
      </c>
      <c r="I19" s="4">
        <v>3</v>
      </c>
      <c r="J19" s="17">
        <f t="shared" si="0"/>
        <v>14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18">
        <f t="shared" si="1"/>
        <v>1</v>
      </c>
      <c r="R19" s="19">
        <f t="shared" si="2"/>
        <v>7.1428571428571423</v>
      </c>
    </row>
    <row r="20" spans="1:18" x14ac:dyDescent="0.35">
      <c r="A20" s="8">
        <v>14</v>
      </c>
      <c r="B20" s="9" t="s">
        <v>23</v>
      </c>
      <c r="C20" s="9" t="s">
        <v>23</v>
      </c>
      <c r="D20" s="8">
        <v>3</v>
      </c>
      <c r="E20" s="8">
        <v>2</v>
      </c>
      <c r="F20" s="8">
        <v>3</v>
      </c>
      <c r="G20" s="8">
        <v>4</v>
      </c>
      <c r="H20" s="8">
        <v>2</v>
      </c>
      <c r="I20" s="8">
        <v>4</v>
      </c>
      <c r="J20" s="17">
        <f t="shared" si="0"/>
        <v>18</v>
      </c>
      <c r="K20" s="8">
        <v>0</v>
      </c>
      <c r="L20" s="8">
        <v>1</v>
      </c>
      <c r="M20" s="8">
        <v>0</v>
      </c>
      <c r="N20" s="8">
        <v>0</v>
      </c>
      <c r="O20" s="8">
        <v>0</v>
      </c>
      <c r="P20" s="8">
        <v>0</v>
      </c>
      <c r="Q20" s="18">
        <f t="shared" si="1"/>
        <v>1</v>
      </c>
      <c r="R20" s="20">
        <f t="shared" si="2"/>
        <v>5.5555555555555554</v>
      </c>
    </row>
    <row r="21" spans="1:18" x14ac:dyDescent="0.35">
      <c r="A21" s="4">
        <v>15</v>
      </c>
      <c r="B21" s="5" t="s">
        <v>24</v>
      </c>
      <c r="C21" s="5" t="s">
        <v>24</v>
      </c>
      <c r="D21" s="4">
        <v>9</v>
      </c>
      <c r="E21" s="4">
        <v>10</v>
      </c>
      <c r="F21" s="4">
        <v>11</v>
      </c>
      <c r="G21" s="4">
        <v>2</v>
      </c>
      <c r="H21" s="4">
        <v>3</v>
      </c>
      <c r="I21" s="4">
        <v>8</v>
      </c>
      <c r="J21" s="17">
        <f t="shared" si="0"/>
        <v>43</v>
      </c>
      <c r="K21" s="4">
        <v>1</v>
      </c>
      <c r="L21" s="4">
        <v>2</v>
      </c>
      <c r="M21" s="4">
        <v>4</v>
      </c>
      <c r="N21" s="4">
        <v>0</v>
      </c>
      <c r="O21" s="4">
        <v>0</v>
      </c>
      <c r="P21" s="4">
        <v>1</v>
      </c>
      <c r="Q21" s="18">
        <f t="shared" si="1"/>
        <v>8</v>
      </c>
      <c r="R21" s="19">
        <f t="shared" si="2"/>
        <v>18.604651162790699</v>
      </c>
    </row>
    <row r="22" spans="1:18" x14ac:dyDescent="0.35">
      <c r="A22" s="8">
        <v>16</v>
      </c>
      <c r="B22" s="9" t="s">
        <v>54</v>
      </c>
      <c r="C22" s="9" t="s">
        <v>25</v>
      </c>
      <c r="D22" s="8">
        <v>7</v>
      </c>
      <c r="E22" s="8">
        <v>4</v>
      </c>
      <c r="F22" s="8">
        <v>4</v>
      </c>
      <c r="G22" s="8">
        <v>1</v>
      </c>
      <c r="H22" s="8">
        <v>2</v>
      </c>
      <c r="I22" s="8">
        <v>6</v>
      </c>
      <c r="J22" s="17">
        <f t="shared" si="0"/>
        <v>24</v>
      </c>
      <c r="K22" s="8">
        <v>0</v>
      </c>
      <c r="L22" s="8">
        <v>0</v>
      </c>
      <c r="M22" s="8">
        <v>1</v>
      </c>
      <c r="N22" s="8">
        <v>0</v>
      </c>
      <c r="O22" s="8">
        <v>0</v>
      </c>
      <c r="P22" s="8">
        <v>0</v>
      </c>
      <c r="Q22" s="18">
        <f t="shared" si="1"/>
        <v>1</v>
      </c>
      <c r="R22" s="20">
        <f t="shared" si="2"/>
        <v>4.1666666666666661</v>
      </c>
    </row>
    <row r="23" spans="1:18" x14ac:dyDescent="0.35">
      <c r="A23" s="4">
        <v>17</v>
      </c>
      <c r="B23" s="5" t="s">
        <v>54</v>
      </c>
      <c r="C23" s="5" t="s">
        <v>26</v>
      </c>
      <c r="D23" s="4">
        <v>4</v>
      </c>
      <c r="E23" s="4">
        <v>0</v>
      </c>
      <c r="F23" s="4">
        <v>5</v>
      </c>
      <c r="G23" s="4">
        <v>2</v>
      </c>
      <c r="H23" s="4">
        <v>1</v>
      </c>
      <c r="I23" s="4">
        <v>6</v>
      </c>
      <c r="J23" s="17">
        <f t="shared" si="0"/>
        <v>18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18">
        <f t="shared" si="1"/>
        <v>0</v>
      </c>
      <c r="R23" s="19">
        <f t="shared" si="2"/>
        <v>0</v>
      </c>
    </row>
    <row r="24" spans="1:18" x14ac:dyDescent="0.35">
      <c r="A24" s="8">
        <v>18</v>
      </c>
      <c r="B24" s="9" t="s">
        <v>55</v>
      </c>
      <c r="C24" s="9" t="s">
        <v>27</v>
      </c>
      <c r="D24" s="8">
        <v>2</v>
      </c>
      <c r="E24" s="8">
        <v>5</v>
      </c>
      <c r="F24" s="8">
        <v>3</v>
      </c>
      <c r="G24" s="8">
        <v>0</v>
      </c>
      <c r="H24" s="8">
        <v>1</v>
      </c>
      <c r="I24" s="8">
        <v>6</v>
      </c>
      <c r="J24" s="17">
        <f t="shared" si="0"/>
        <v>17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18">
        <f t="shared" si="1"/>
        <v>0</v>
      </c>
      <c r="R24" s="20">
        <f t="shared" si="2"/>
        <v>0</v>
      </c>
    </row>
    <row r="25" spans="1:18" x14ac:dyDescent="0.35">
      <c r="A25" s="4">
        <v>19</v>
      </c>
      <c r="B25" s="5" t="s">
        <v>55</v>
      </c>
      <c r="C25" s="5" t="s">
        <v>28</v>
      </c>
      <c r="D25" s="4">
        <v>5</v>
      </c>
      <c r="E25" s="4">
        <v>11</v>
      </c>
      <c r="F25" s="4">
        <v>4</v>
      </c>
      <c r="G25" s="4">
        <v>5</v>
      </c>
      <c r="H25" s="4">
        <v>2</v>
      </c>
      <c r="I25" s="4">
        <v>5</v>
      </c>
      <c r="J25" s="17">
        <f t="shared" si="0"/>
        <v>32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18">
        <f t="shared" si="1"/>
        <v>0</v>
      </c>
      <c r="R25" s="19">
        <f t="shared" si="2"/>
        <v>0</v>
      </c>
    </row>
    <row r="26" spans="1:18" x14ac:dyDescent="0.35">
      <c r="A26" s="8">
        <v>20</v>
      </c>
      <c r="B26" s="9" t="s">
        <v>29</v>
      </c>
      <c r="C26" s="9" t="s">
        <v>29</v>
      </c>
      <c r="D26" s="8">
        <v>2</v>
      </c>
      <c r="E26" s="8">
        <v>8</v>
      </c>
      <c r="F26" s="8">
        <v>11</v>
      </c>
      <c r="G26" s="8">
        <v>3</v>
      </c>
      <c r="H26" s="8">
        <v>1</v>
      </c>
      <c r="I26" s="8">
        <v>7</v>
      </c>
      <c r="J26" s="17">
        <f t="shared" si="0"/>
        <v>32</v>
      </c>
      <c r="K26" s="8">
        <v>0</v>
      </c>
      <c r="L26" s="8">
        <v>1</v>
      </c>
      <c r="M26" s="8">
        <v>1</v>
      </c>
      <c r="N26" s="8">
        <v>0</v>
      </c>
      <c r="O26" s="8">
        <v>0</v>
      </c>
      <c r="P26" s="8">
        <v>0</v>
      </c>
      <c r="Q26" s="18">
        <f t="shared" si="1"/>
        <v>2</v>
      </c>
      <c r="R26" s="20">
        <f t="shared" si="2"/>
        <v>6.25</v>
      </c>
    </row>
    <row r="27" spans="1:18" x14ac:dyDescent="0.35">
      <c r="A27" s="4">
        <v>21</v>
      </c>
      <c r="B27" s="5" t="s">
        <v>56</v>
      </c>
      <c r="C27" s="5" t="s">
        <v>30</v>
      </c>
      <c r="D27" s="4">
        <v>1</v>
      </c>
      <c r="E27" s="4">
        <v>2</v>
      </c>
      <c r="F27" s="4">
        <v>3</v>
      </c>
      <c r="G27" s="4">
        <v>1</v>
      </c>
      <c r="H27" s="4">
        <v>0</v>
      </c>
      <c r="I27" s="4">
        <v>3</v>
      </c>
      <c r="J27" s="17">
        <f t="shared" si="0"/>
        <v>10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18">
        <f t="shared" si="1"/>
        <v>1</v>
      </c>
      <c r="R27" s="19">
        <f t="shared" si="2"/>
        <v>10</v>
      </c>
    </row>
    <row r="28" spans="1:18" x14ac:dyDescent="0.35">
      <c r="A28" s="8">
        <v>22</v>
      </c>
      <c r="B28" s="9" t="s">
        <v>56</v>
      </c>
      <c r="C28" s="9" t="s">
        <v>31</v>
      </c>
      <c r="D28" s="8">
        <v>0</v>
      </c>
      <c r="E28" s="8">
        <v>3</v>
      </c>
      <c r="F28" s="8">
        <v>4</v>
      </c>
      <c r="G28" s="8">
        <v>4</v>
      </c>
      <c r="H28" s="8">
        <v>4</v>
      </c>
      <c r="I28" s="8">
        <v>9</v>
      </c>
      <c r="J28" s="17">
        <f t="shared" si="0"/>
        <v>24</v>
      </c>
      <c r="K28" s="8">
        <v>0</v>
      </c>
      <c r="L28" s="8">
        <v>1</v>
      </c>
      <c r="M28" s="8">
        <v>0</v>
      </c>
      <c r="N28" s="8">
        <v>0</v>
      </c>
      <c r="O28" s="8">
        <v>0</v>
      </c>
      <c r="P28" s="8">
        <v>2</v>
      </c>
      <c r="Q28" s="18">
        <f t="shared" si="1"/>
        <v>3</v>
      </c>
      <c r="R28" s="20">
        <f t="shared" si="2"/>
        <v>12.5</v>
      </c>
    </row>
    <row r="29" spans="1:18" x14ac:dyDescent="0.35">
      <c r="A29" s="4">
        <v>23</v>
      </c>
      <c r="B29" s="5" t="s">
        <v>32</v>
      </c>
      <c r="C29" s="5" t="s">
        <v>32</v>
      </c>
      <c r="D29" s="4">
        <v>1</v>
      </c>
      <c r="E29" s="4">
        <v>2</v>
      </c>
      <c r="F29" s="4">
        <v>1</v>
      </c>
      <c r="G29" s="4">
        <v>1</v>
      </c>
      <c r="H29" s="4">
        <v>2</v>
      </c>
      <c r="I29" s="4">
        <v>0</v>
      </c>
      <c r="J29" s="17">
        <f t="shared" si="0"/>
        <v>7</v>
      </c>
      <c r="K29" s="4">
        <v>0</v>
      </c>
      <c r="L29" s="4">
        <v>0</v>
      </c>
      <c r="M29" s="4">
        <v>1</v>
      </c>
      <c r="N29" s="4">
        <v>0</v>
      </c>
      <c r="O29" s="4">
        <v>1</v>
      </c>
      <c r="P29" s="4">
        <v>0</v>
      </c>
      <c r="Q29" s="18">
        <f t="shared" si="1"/>
        <v>2</v>
      </c>
      <c r="R29" s="19">
        <f t="shared" si="2"/>
        <v>28.571428571428569</v>
      </c>
    </row>
    <row r="30" spans="1:18" x14ac:dyDescent="0.35">
      <c r="A30" s="8">
        <v>24</v>
      </c>
      <c r="B30" s="9" t="s">
        <v>33</v>
      </c>
      <c r="C30" s="9" t="s">
        <v>33</v>
      </c>
      <c r="D30" s="8">
        <v>4</v>
      </c>
      <c r="E30" s="8">
        <v>4</v>
      </c>
      <c r="F30" s="8">
        <v>2</v>
      </c>
      <c r="G30" s="8">
        <v>2</v>
      </c>
      <c r="H30" s="8">
        <v>0</v>
      </c>
      <c r="I30" s="8">
        <v>2</v>
      </c>
      <c r="J30" s="17">
        <f t="shared" si="0"/>
        <v>14</v>
      </c>
      <c r="K30" s="8">
        <v>1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18">
        <f t="shared" si="1"/>
        <v>1</v>
      </c>
      <c r="R30" s="20">
        <f t="shared" si="2"/>
        <v>7.1428571428571423</v>
      </c>
    </row>
    <row r="31" spans="1:18" x14ac:dyDescent="0.35">
      <c r="A31" s="4">
        <v>25</v>
      </c>
      <c r="B31" s="5" t="s">
        <v>34</v>
      </c>
      <c r="C31" s="5" t="s">
        <v>34</v>
      </c>
      <c r="D31" s="4">
        <v>2</v>
      </c>
      <c r="E31" s="4">
        <v>4</v>
      </c>
      <c r="F31" s="4">
        <v>6</v>
      </c>
      <c r="G31" s="4">
        <v>2</v>
      </c>
      <c r="H31" s="4">
        <v>0</v>
      </c>
      <c r="I31" s="4">
        <v>1</v>
      </c>
      <c r="J31" s="17">
        <f t="shared" si="0"/>
        <v>15</v>
      </c>
      <c r="K31" s="4">
        <v>0</v>
      </c>
      <c r="L31" s="4">
        <v>1</v>
      </c>
      <c r="M31" s="4">
        <v>2</v>
      </c>
      <c r="N31" s="4">
        <v>0</v>
      </c>
      <c r="O31" s="4">
        <v>0</v>
      </c>
      <c r="P31" s="4">
        <v>0</v>
      </c>
      <c r="Q31" s="18">
        <f t="shared" si="1"/>
        <v>3</v>
      </c>
      <c r="R31" s="19">
        <f t="shared" si="2"/>
        <v>20</v>
      </c>
    </row>
    <row r="32" spans="1:18" ht="21.75" customHeight="1" x14ac:dyDescent="0.35">
      <c r="A32" s="26" t="s">
        <v>35</v>
      </c>
      <c r="B32" s="26"/>
      <c r="C32" s="26"/>
      <c r="D32" s="21">
        <f t="shared" ref="D32:P32" si="3">SUM(D7:D31)</f>
        <v>86</v>
      </c>
      <c r="E32" s="21">
        <f t="shared" si="3"/>
        <v>115</v>
      </c>
      <c r="F32" s="21">
        <f t="shared" si="3"/>
        <v>102</v>
      </c>
      <c r="G32" s="21">
        <f t="shared" si="3"/>
        <v>57</v>
      </c>
      <c r="H32" s="21">
        <f t="shared" si="3"/>
        <v>26</v>
      </c>
      <c r="I32" s="21">
        <f t="shared" si="3"/>
        <v>104</v>
      </c>
      <c r="J32" s="22">
        <f t="shared" si="3"/>
        <v>490</v>
      </c>
      <c r="K32" s="23">
        <f t="shared" si="3"/>
        <v>10</v>
      </c>
      <c r="L32" s="23">
        <f t="shared" si="3"/>
        <v>9</v>
      </c>
      <c r="M32" s="23">
        <f t="shared" si="3"/>
        <v>13</v>
      </c>
      <c r="N32" s="23">
        <f t="shared" si="3"/>
        <v>2</v>
      </c>
      <c r="O32" s="23">
        <f t="shared" si="3"/>
        <v>1</v>
      </c>
      <c r="P32" s="23">
        <f t="shared" si="3"/>
        <v>6</v>
      </c>
      <c r="Q32" s="24">
        <f ca="1">IFERROR(Q32/J32*100,0)</f>
        <v>0</v>
      </c>
    </row>
    <row r="34" spans="1:18" x14ac:dyDescent="0.35">
      <c r="A34" s="25" t="s">
        <v>57</v>
      </c>
    </row>
    <row r="35" spans="1:18" x14ac:dyDescent="0.35">
      <c r="A35" s="33" t="s">
        <v>58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 x14ac:dyDescent="0.35">
      <c r="A36" s="33" t="s">
        <v>59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x14ac:dyDescent="0.35">
      <c r="A37" s="33" t="s">
        <v>60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 x14ac:dyDescent="0.35">
      <c r="A38" s="33" t="s">
        <v>61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</sheetData>
  <mergeCells count="15">
    <mergeCell ref="A1:R1"/>
    <mergeCell ref="A2:R2"/>
    <mergeCell ref="A4:A6"/>
    <mergeCell ref="B4:B6"/>
    <mergeCell ref="C4:C6"/>
    <mergeCell ref="D4:J4"/>
    <mergeCell ref="K4:Q4"/>
    <mergeCell ref="R4:R6"/>
    <mergeCell ref="D5:I5"/>
    <mergeCell ref="K5:P5"/>
    <mergeCell ref="A32:C32"/>
    <mergeCell ref="A35:R35"/>
    <mergeCell ref="A36:R36"/>
    <mergeCell ref="A37:R37"/>
    <mergeCell ref="A38:R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Rekapitulasi</vt:lpstr>
      <vt:lpstr>Kasus 2023</vt:lpstr>
      <vt:lpstr>Kasus 2024</vt:lpstr>
      <vt:lpstr>Kasus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S I</cp:lastModifiedBy>
  <cp:revision>0</cp:revision>
  <dcterms:created xsi:type="dcterms:W3CDTF">2026-04-24T02:53:02Z</dcterms:created>
  <dcterms:modified xsi:type="dcterms:W3CDTF">2026-05-30T06:18:41Z</dcterms:modified>
  <dc:language>en-US</dc:language>
</cp:coreProperties>
</file>