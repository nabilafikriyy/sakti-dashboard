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kapitulasi" sheetId="1" state="visible" r:id="rId3"/>
    <sheet name="2023" sheetId="2" state="visible" r:id="rId4"/>
    <sheet name="2024" sheetId="3" state="visible" r:id="rId5"/>
    <sheet name="2025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<sst xmlns="http://schemas.openxmlformats.org/spreadsheetml/2006/main" count="280" uniqueCount="63">
  <si>
    <t xml:space="preserve">REKAPITULASI KASUS DBD PER KELOMPOK UMUR
KABUPATEN SLEMAN TAHUN 2023–2025</t>
  </si>
  <si>
    <t xml:space="preserve">Sumber: Dinas Kesehatan Kabupaten Sleman</t>
  </si>
  <si>
    <t xml:space="preserve">NO</t>
  </si>
  <si>
    <t xml:space="preserve">PUSKESMAS</t>
  </si>
  <si>
    <t xml:space="preserve">TAHUN 2023</t>
  </si>
  <si>
    <t xml:space="preserve">TAHUN 2024</t>
  </si>
  <si>
    <t xml:space="preserve">TAHUN 2025</t>
  </si>
  <si>
    <t xml:space="preserve">&lt;1</t>
  </si>
  <si>
    <t xml:space="preserve">1-4</t>
  </si>
  <si>
    <t xml:space="preserve">5-9</t>
  </si>
  <si>
    <t xml:space="preserve">10-14</t>
  </si>
  <si>
    <t xml:space="preserve">15-19</t>
  </si>
  <si>
    <t xml:space="preserve">20-44</t>
  </si>
  <si>
    <t xml:space="preserve">45-59</t>
  </si>
  <si>
    <t xml:space="preserve">≥60</t>
  </si>
  <si>
    <t xml:space="preserve">TOTAL</t>
  </si>
  <si>
    <t xml:space="preserve">GAMPING I</t>
  </si>
  <si>
    <t xml:space="preserve">GAMPING 2</t>
  </si>
  <si>
    <t xml:space="preserve">GODEAN I</t>
  </si>
  <si>
    <t xml:space="preserve">GODEAN 2</t>
  </si>
  <si>
    <t xml:space="preserve">MOYUDAN</t>
  </si>
  <si>
    <t xml:space="preserve">MINGGIR</t>
  </si>
  <si>
    <t xml:space="preserve">SEYEGAN</t>
  </si>
  <si>
    <t xml:space="preserve">MLATI I</t>
  </si>
  <si>
    <t xml:space="preserve">MLATI 2</t>
  </si>
  <si>
    <t xml:space="preserve">DEPOK I</t>
  </si>
  <si>
    <t xml:space="preserve">DEPOK 2</t>
  </si>
  <si>
    <t xml:space="preserve">DEPOK 3</t>
  </si>
  <si>
    <t xml:space="preserve">BERBAH</t>
  </si>
  <si>
    <t xml:space="preserve">PRAMBANAN</t>
  </si>
  <si>
    <t xml:space="preserve">KALASAN</t>
  </si>
  <si>
    <t xml:space="preserve">NGEMPLAK I</t>
  </si>
  <si>
    <t xml:space="preserve">NGEMPLAK 2</t>
  </si>
  <si>
    <t xml:space="preserve">NGAGLIK 1</t>
  </si>
  <si>
    <t xml:space="preserve">NGAGLIK 2</t>
  </si>
  <si>
    <t xml:space="preserve">SLEMAN</t>
  </si>
  <si>
    <t xml:space="preserve">TEMPEL 1</t>
  </si>
  <si>
    <t xml:space="preserve">TEMPEL 2</t>
  </si>
  <si>
    <t xml:space="preserve">TURI</t>
  </si>
  <si>
    <t xml:space="preserve">PAKEM</t>
  </si>
  <si>
    <t xml:space="preserve">CANGKRINGAN</t>
  </si>
  <si>
    <t xml:space="preserve">TOTAL KABUPATEN</t>
  </si>
  <si>
    <t xml:space="preserve">DATA KASUS DEMAM BERDARAH DENGUE (DBD)
KABUPATEN SLEMAN TAHUN 2023</t>
  </si>
  <si>
    <t xml:space="preserve">KAPANEWON</t>
  </si>
  <si>
    <t xml:space="preserve">KELOMPOK UMUR (TAHUN)</t>
  </si>
  <si>
    <t xml:space="preserve">TOTAL
KASUS</t>
  </si>
  <si>
    <t xml:space="preserve">LAKI-LAKI</t>
  </si>
  <si>
    <t xml:space="preserve">PEREMPUAN</t>
  </si>
  <si>
    <t xml:space="preserve">MENINGGAL</t>
  </si>
  <si>
    <t xml:space="preserve">CFR
(%)</t>
  </si>
  <si>
    <t xml:space="preserve">GAMPING</t>
  </si>
  <si>
    <t xml:space="preserve">GODEAN</t>
  </si>
  <si>
    <t xml:space="preserve">MLATI</t>
  </si>
  <si>
    <t xml:space="preserve">DEPOK</t>
  </si>
  <si>
    <t xml:space="preserve">NGEMPLAK</t>
  </si>
  <si>
    <t xml:space="preserve">NGAGLIK</t>
  </si>
  <si>
    <t xml:space="preserve">TEMPEL</t>
  </si>
  <si>
    <t xml:space="preserve">Keterangan:</t>
  </si>
  <si>
    <t xml:space="preserve">* CFR = Case Fatality Rate (angka kematian kasus) = (Meninggal / Total Kasus) × 100%</t>
  </si>
  <si>
    <t xml:space="preserve">* Kelompok umur mengikuti standar klasifikasi Kemenkes RI</t>
  </si>
  <si>
    <t xml:space="preserve">DATA KASUS DEMAM BERDARAH DENGUE (DBD)
KABUPATEN SLEMAN TAHUN 2024</t>
  </si>
  <si>
    <t xml:space="preserve">* Data Laki-Laki/Perempuan per puskesmas tahun 2024 diestimasi berdasarkan pemetaan alamat domisili dari data rekap individu (File 1). 167 dari 491 catatan (34%) tidak dapat dipetakan ke puskesmas tertentu karena data alamat tidak lengkap.</t>
  </si>
  <si>
    <t xml:space="preserve">DATA KASUS DEMAM BERDARAH DENGUE (DBD)
KABUPATEN SLEMAN TAHUN 2025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</si>
</sst>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666666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DEEAF1"/>
        <bgColor rgb="FFDDEEFF"/>
      </patternFill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538135"/>
        <bgColor rgb="FF666666"/>
      </patternFill>
    </fill>
    <fill>
      <patternFill patternType="solid">
        <fgColor rgb="FFED7D31"/>
        <bgColor rgb="FFFF8080"/>
      </patternFill>
    </fill>
    <fill>
      <patternFill patternType="solid">
        <fgColor rgb="FFBDD7EE"/>
        <bgColor rgb="FFD9E1F2"/>
      </patternFill>
    </fill>
    <fill>
      <patternFill patternType="solid">
        <fgColor rgb="FFFFFFFF"/>
        <bgColor rgb="FFF2F7FC"/>
      </patternFill>
    </fill>
    <fill>
      <patternFill patternType="solid">
        <fgColor rgb="FFFFF2CC"/>
        <bgColor rgb="FFF2F7FC"/>
      </patternFill>
    </fill>
    <fill>
      <patternFill patternType="solid">
        <fgColor rgb="FFF2F7FC"/>
        <bgColor rgb="FFFFFFFF"/>
      </patternFill>
    </fill>
    <fill>
      <patternFill patternType="solid">
        <fgColor rgb="FFC55A11"/>
        <bgColor rgb="FFED7D31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DEEAF1"/>
      </patternFill>
    </fill>
    <fill>
      <patternFill patternType="solid">
        <fgColor rgb="FFDDEEFF"/>
        <bgColor rgb="FFDEEAF1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/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B0B0B0"/>
      </left>
      <right style="thin">
        <color rgb="FFB0B0B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F2F7FC"/>
      <rgbColor rgb="FFFFFF99"/>
      <rgbColor rgb="FFD9E1F2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538135"/>
      <rgbColor rgb="FF003300"/>
      <rgbColor rgb="FF333300"/>
      <rgbColor rgb="FFC55A11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29" min="3" style="0" width="7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1.75" hidden="false" customHeight="true" outlineLevel="0" collapsed="false">
      <c r="A4" s="3" t="s">
        <v>2</v>
      </c>
      <c r="B4" s="3" t="s">
        <v>3</v>
      </c>
      <c r="C4" s="4" t="s">
        <v>4</v>
      </c>
      <c r="D4" s="4"/>
      <c r="E4" s="4"/>
      <c r="F4" s="4"/>
      <c r="G4" s="4"/>
      <c r="H4" s="4"/>
      <c r="I4" s="4"/>
      <c r="J4" s="4"/>
      <c r="K4" s="4"/>
      <c r="L4" s="5" t="s">
        <v>5</v>
      </c>
      <c r="M4" s="5"/>
      <c r="N4" s="5"/>
      <c r="O4" s="5"/>
      <c r="P4" s="5"/>
      <c r="Q4" s="5"/>
      <c r="R4" s="5"/>
      <c r="S4" s="5"/>
      <c r="T4" s="5"/>
      <c r="U4" s="6" t="s">
        <v>6</v>
      </c>
      <c r="V4" s="6"/>
      <c r="W4" s="6"/>
      <c r="X4" s="6"/>
      <c r="Y4" s="6"/>
      <c r="Z4" s="6"/>
      <c r="AA4" s="6"/>
      <c r="AB4" s="6"/>
      <c r="AC4" s="6"/>
    </row>
    <row r="5" customFormat="false" ht="18" hidden="false" customHeight="true" outlineLevel="0" collapsed="false">
      <c r="A5" s="3"/>
      <c r="B5" s="3"/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8" t="s">
        <v>15</v>
      </c>
      <c r="L5" s="7" t="s">
        <v>7</v>
      </c>
      <c r="M5" s="7" t="s">
        <v>8</v>
      </c>
      <c r="N5" s="7" t="s">
        <v>9</v>
      </c>
      <c r="O5" s="7" t="s">
        <v>10</v>
      </c>
      <c r="P5" s="7" t="s">
        <v>11</v>
      </c>
      <c r="Q5" s="7" t="s">
        <v>12</v>
      </c>
      <c r="R5" s="7" t="s">
        <v>13</v>
      </c>
      <c r="S5" s="7" t="s">
        <v>14</v>
      </c>
      <c r="T5" s="9" t="s">
        <v>15</v>
      </c>
      <c r="U5" s="7" t="s">
        <v>7</v>
      </c>
      <c r="V5" s="7" t="s">
        <v>8</v>
      </c>
      <c r="W5" s="7" t="s">
        <v>9</v>
      </c>
      <c r="X5" s="7" t="s">
        <v>10</v>
      </c>
      <c r="Y5" s="7" t="s">
        <v>11</v>
      </c>
      <c r="Z5" s="7" t="s">
        <v>12</v>
      </c>
      <c r="AA5" s="7" t="s">
        <v>13</v>
      </c>
      <c r="AB5" s="7" t="s">
        <v>14</v>
      </c>
      <c r="AC5" s="10" t="s">
        <v>15</v>
      </c>
    </row>
    <row r="6" customFormat="false" ht="14.25" hidden="false" customHeight="false" outlineLevel="0" collapsed="false">
      <c r="A6" s="11" t="n">
        <v>1</v>
      </c>
      <c r="B6" s="12" t="s">
        <v>16</v>
      </c>
      <c r="C6" s="11" t="n">
        <f aca="false">'2023'!D6</f>
        <v>0</v>
      </c>
      <c r="D6" s="11" t="n">
        <f aca="false">'2023'!E6</f>
        <v>1</v>
      </c>
      <c r="E6" s="11" t="n">
        <f aca="false">'2023'!F6</f>
        <v>0</v>
      </c>
      <c r="F6" s="11" t="n">
        <f aca="false">'2023'!G6</f>
        <v>0</v>
      </c>
      <c r="G6" s="11" t="n">
        <f aca="false">'2023'!H6</f>
        <v>0</v>
      </c>
      <c r="H6" s="11" t="n">
        <f aca="false">'2023'!I6</f>
        <v>5</v>
      </c>
      <c r="I6" s="11" t="n">
        <f aca="false">'2023'!J6</f>
        <v>0</v>
      </c>
      <c r="J6" s="11" t="n">
        <f aca="false">'2023'!K6</f>
        <v>1</v>
      </c>
      <c r="K6" s="13" t="n">
        <f aca="false">'2023'!L6</f>
        <v>7</v>
      </c>
      <c r="L6" s="11" t="n">
        <f aca="false">'2024'!D6</f>
        <v>0</v>
      </c>
      <c r="M6" s="11" t="n">
        <f aca="false">'2024'!E6</f>
        <v>2</v>
      </c>
      <c r="N6" s="11" t="n">
        <f aca="false">'2024'!F6</f>
        <v>3</v>
      </c>
      <c r="O6" s="11" t="n">
        <f aca="false">'2024'!G6</f>
        <v>3</v>
      </c>
      <c r="P6" s="11" t="n">
        <f aca="false">'2024'!H6</f>
        <v>5</v>
      </c>
      <c r="Q6" s="11" t="n">
        <f aca="false">'2024'!I6</f>
        <v>14</v>
      </c>
      <c r="R6" s="11" t="n">
        <f aca="false">'2024'!J6</f>
        <v>3</v>
      </c>
      <c r="S6" s="11" t="n">
        <f aca="false">'2024'!K6</f>
        <v>0</v>
      </c>
      <c r="T6" s="13" t="n">
        <f aca="false">'2024'!L6</f>
        <v>30</v>
      </c>
      <c r="U6" s="11" t="n">
        <f aca="false">'2025'!D6</f>
        <v>0</v>
      </c>
      <c r="V6" s="11" t="n">
        <f aca="false">'2025'!E6</f>
        <v>0</v>
      </c>
      <c r="W6" s="11" t="n">
        <f aca="false">'2025'!F6</f>
        <v>1</v>
      </c>
      <c r="X6" s="11" t="n">
        <f aca="false">'2025'!G6</f>
        <v>2</v>
      </c>
      <c r="Y6" s="11" t="n">
        <f aca="false">'2025'!H6</f>
        <v>3</v>
      </c>
      <c r="Z6" s="11" t="n">
        <f aca="false">'2025'!I6</f>
        <v>8</v>
      </c>
      <c r="AA6" s="11" t="n">
        <f aca="false">'2025'!J6</f>
        <v>3</v>
      </c>
      <c r="AB6" s="11" t="n">
        <f aca="false">'2025'!K6</f>
        <v>5</v>
      </c>
      <c r="AC6" s="13" t="n">
        <f aca="false">'2025'!L6</f>
        <v>22</v>
      </c>
    </row>
    <row r="7" customFormat="false" ht="14.25" hidden="false" customHeight="false" outlineLevel="0" collapsed="false">
      <c r="A7" s="14" t="n">
        <v>2</v>
      </c>
      <c r="B7" s="15" t="s">
        <v>17</v>
      </c>
      <c r="C7" s="14" t="n">
        <f aca="false">'2023'!D7</f>
        <v>0</v>
      </c>
      <c r="D7" s="14" t="n">
        <f aca="false">'2023'!E7</f>
        <v>0</v>
      </c>
      <c r="E7" s="14" t="n">
        <f aca="false">'2023'!F7</f>
        <v>1</v>
      </c>
      <c r="F7" s="14" t="n">
        <f aca="false">'2023'!G7</f>
        <v>1</v>
      </c>
      <c r="G7" s="14" t="n">
        <f aca="false">'2023'!H7</f>
        <v>1</v>
      </c>
      <c r="H7" s="14" t="n">
        <f aca="false">'2023'!I7</f>
        <v>3</v>
      </c>
      <c r="I7" s="14" t="n">
        <f aca="false">'2023'!J7</f>
        <v>2</v>
      </c>
      <c r="J7" s="14" t="n">
        <f aca="false">'2023'!K7</f>
        <v>0</v>
      </c>
      <c r="K7" s="13" t="n">
        <f aca="false">'2023'!L7</f>
        <v>8</v>
      </c>
      <c r="L7" s="14" t="n">
        <f aca="false">'2024'!D7</f>
        <v>0</v>
      </c>
      <c r="M7" s="14" t="n">
        <f aca="false">'2024'!E7</f>
        <v>0</v>
      </c>
      <c r="N7" s="14" t="n">
        <f aca="false">'2024'!F7</f>
        <v>0</v>
      </c>
      <c r="O7" s="14" t="n">
        <f aca="false">'2024'!G7</f>
        <v>0</v>
      </c>
      <c r="P7" s="14" t="n">
        <f aca="false">'2024'!H7</f>
        <v>0</v>
      </c>
      <c r="Q7" s="14" t="n">
        <f aca="false">'2024'!I7</f>
        <v>0</v>
      </c>
      <c r="R7" s="14" t="n">
        <f aca="false">'2024'!J7</f>
        <v>0</v>
      </c>
      <c r="S7" s="14" t="n">
        <f aca="false">'2024'!K7</f>
        <v>0</v>
      </c>
      <c r="T7" s="13" t="n">
        <f aca="false">'2024'!L7</f>
        <v>0</v>
      </c>
      <c r="U7" s="14" t="n">
        <f aca="false">'2025'!D7</f>
        <v>0</v>
      </c>
      <c r="V7" s="14" t="n">
        <f aca="false">'2025'!E7</f>
        <v>0</v>
      </c>
      <c r="W7" s="14" t="n">
        <f aca="false">'2025'!F7</f>
        <v>5</v>
      </c>
      <c r="X7" s="14" t="n">
        <f aca="false">'2025'!G7</f>
        <v>4</v>
      </c>
      <c r="Y7" s="14" t="n">
        <f aca="false">'2025'!H7</f>
        <v>4</v>
      </c>
      <c r="Z7" s="14" t="n">
        <f aca="false">'2025'!I7</f>
        <v>11</v>
      </c>
      <c r="AA7" s="14" t="n">
        <f aca="false">'2025'!J7</f>
        <v>2</v>
      </c>
      <c r="AB7" s="14" t="n">
        <f aca="false">'2025'!K7</f>
        <v>2</v>
      </c>
      <c r="AC7" s="13" t="n">
        <f aca="false">'2025'!L7</f>
        <v>28</v>
      </c>
    </row>
    <row r="8" customFormat="false" ht="14.25" hidden="false" customHeight="false" outlineLevel="0" collapsed="false">
      <c r="A8" s="11" t="n">
        <v>3</v>
      </c>
      <c r="B8" s="12" t="s">
        <v>18</v>
      </c>
      <c r="C8" s="11" t="n">
        <f aca="false">'2023'!D8</f>
        <v>0</v>
      </c>
      <c r="D8" s="11" t="n">
        <f aca="false">'2023'!E8</f>
        <v>0</v>
      </c>
      <c r="E8" s="11" t="n">
        <f aca="false">'2023'!F8</f>
        <v>1</v>
      </c>
      <c r="F8" s="11" t="n">
        <f aca="false">'2023'!G8</f>
        <v>0</v>
      </c>
      <c r="G8" s="11" t="n">
        <f aca="false">'2023'!H8</f>
        <v>0</v>
      </c>
      <c r="H8" s="11" t="n">
        <f aca="false">'2023'!I8</f>
        <v>0</v>
      </c>
      <c r="I8" s="11" t="n">
        <f aca="false">'2023'!J8</f>
        <v>0</v>
      </c>
      <c r="J8" s="11" t="n">
        <f aca="false">'2023'!K8</f>
        <v>1</v>
      </c>
      <c r="K8" s="13" t="n">
        <f aca="false">'2023'!L8</f>
        <v>2</v>
      </c>
      <c r="L8" s="11" t="n">
        <f aca="false">'2024'!D8</f>
        <v>0</v>
      </c>
      <c r="M8" s="11" t="n">
        <f aca="false">'2024'!E8</f>
        <v>1</v>
      </c>
      <c r="N8" s="11" t="n">
        <f aca="false">'2024'!F8</f>
        <v>4</v>
      </c>
      <c r="O8" s="11" t="n">
        <f aca="false">'2024'!G8</f>
        <v>4</v>
      </c>
      <c r="P8" s="11" t="n">
        <f aca="false">'2024'!H8</f>
        <v>8</v>
      </c>
      <c r="Q8" s="11" t="n">
        <f aca="false">'2024'!I8</f>
        <v>11</v>
      </c>
      <c r="R8" s="11" t="n">
        <f aca="false">'2024'!J8</f>
        <v>0</v>
      </c>
      <c r="S8" s="11" t="n">
        <f aca="false">'2024'!K8</f>
        <v>1</v>
      </c>
      <c r="T8" s="13" t="n">
        <f aca="false">'2024'!L8</f>
        <v>29</v>
      </c>
      <c r="U8" s="11" t="n">
        <f aca="false">'2025'!D8</f>
        <v>0</v>
      </c>
      <c r="V8" s="11" t="n">
        <f aca="false">'2025'!E8</f>
        <v>0</v>
      </c>
      <c r="W8" s="11" t="n">
        <f aca="false">'2025'!F8</f>
        <v>0</v>
      </c>
      <c r="X8" s="11" t="n">
        <f aca="false">'2025'!G8</f>
        <v>2</v>
      </c>
      <c r="Y8" s="11" t="n">
        <f aca="false">'2025'!H8</f>
        <v>1</v>
      </c>
      <c r="Z8" s="11" t="n">
        <f aca="false">'2025'!I8</f>
        <v>11</v>
      </c>
      <c r="AA8" s="11" t="n">
        <f aca="false">'2025'!J8</f>
        <v>5</v>
      </c>
      <c r="AB8" s="11" t="n">
        <f aca="false">'2025'!K8</f>
        <v>1</v>
      </c>
      <c r="AC8" s="13" t="n">
        <f aca="false">'2025'!L8</f>
        <v>20</v>
      </c>
    </row>
    <row r="9" customFormat="false" ht="14.25" hidden="false" customHeight="false" outlineLevel="0" collapsed="false">
      <c r="A9" s="14" t="n">
        <v>4</v>
      </c>
      <c r="B9" s="15" t="s">
        <v>19</v>
      </c>
      <c r="C9" s="14" t="n">
        <f aca="false">'2023'!D9</f>
        <v>0</v>
      </c>
      <c r="D9" s="14" t="n">
        <f aca="false">'2023'!E9</f>
        <v>0</v>
      </c>
      <c r="E9" s="14" t="n">
        <f aca="false">'2023'!F9</f>
        <v>0</v>
      </c>
      <c r="F9" s="14" t="n">
        <f aca="false">'2023'!G9</f>
        <v>0</v>
      </c>
      <c r="G9" s="14" t="n">
        <f aca="false">'2023'!H9</f>
        <v>0</v>
      </c>
      <c r="H9" s="14" t="n">
        <f aca="false">'2023'!I9</f>
        <v>3</v>
      </c>
      <c r="I9" s="14" t="n">
        <f aca="false">'2023'!J9</f>
        <v>0</v>
      </c>
      <c r="J9" s="14" t="n">
        <f aca="false">'2023'!K9</f>
        <v>0</v>
      </c>
      <c r="K9" s="13" t="n">
        <f aca="false">'2023'!L9</f>
        <v>3</v>
      </c>
      <c r="L9" s="14" t="n">
        <f aca="false">'2024'!D9</f>
        <v>0</v>
      </c>
      <c r="M9" s="14" t="n">
        <f aca="false">'2024'!E9</f>
        <v>0</v>
      </c>
      <c r="N9" s="14" t="n">
        <f aca="false">'2024'!F9</f>
        <v>0</v>
      </c>
      <c r="O9" s="14" t="n">
        <f aca="false">'2024'!G9</f>
        <v>0</v>
      </c>
      <c r="P9" s="14" t="n">
        <f aca="false">'2024'!H9</f>
        <v>0</v>
      </c>
      <c r="Q9" s="14" t="n">
        <f aca="false">'2024'!I9</f>
        <v>0</v>
      </c>
      <c r="R9" s="14" t="n">
        <f aca="false">'2024'!J9</f>
        <v>0</v>
      </c>
      <c r="S9" s="14" t="n">
        <f aca="false">'2024'!K9</f>
        <v>0</v>
      </c>
      <c r="T9" s="13" t="n">
        <f aca="false">'2024'!L9</f>
        <v>0</v>
      </c>
      <c r="U9" s="14" t="n">
        <f aca="false">'2025'!D9</f>
        <v>0</v>
      </c>
      <c r="V9" s="14" t="n">
        <f aca="false">'2025'!E9</f>
        <v>1</v>
      </c>
      <c r="W9" s="14" t="n">
        <f aca="false">'2025'!F9</f>
        <v>1</v>
      </c>
      <c r="X9" s="14" t="n">
        <f aca="false">'2025'!G9</f>
        <v>5</v>
      </c>
      <c r="Y9" s="14" t="n">
        <f aca="false">'2025'!H9</f>
        <v>3</v>
      </c>
      <c r="Z9" s="14" t="n">
        <f aca="false">'2025'!I9</f>
        <v>7</v>
      </c>
      <c r="AA9" s="14" t="n">
        <f aca="false">'2025'!J9</f>
        <v>5</v>
      </c>
      <c r="AB9" s="14" t="n">
        <f aca="false">'2025'!K9</f>
        <v>0</v>
      </c>
      <c r="AC9" s="13" t="n">
        <f aca="false">'2025'!L9</f>
        <v>22</v>
      </c>
    </row>
    <row r="10" customFormat="false" ht="14.25" hidden="false" customHeight="false" outlineLevel="0" collapsed="false">
      <c r="A10" s="11" t="n">
        <v>5</v>
      </c>
      <c r="B10" s="12" t="s">
        <v>20</v>
      </c>
      <c r="C10" s="11" t="n">
        <f aca="false">'2023'!D10</f>
        <v>0</v>
      </c>
      <c r="D10" s="11" t="n">
        <f aca="false">'2023'!E10</f>
        <v>0</v>
      </c>
      <c r="E10" s="11" t="n">
        <f aca="false">'2023'!F10</f>
        <v>1</v>
      </c>
      <c r="F10" s="11" t="n">
        <f aca="false">'2023'!G10</f>
        <v>1</v>
      </c>
      <c r="G10" s="11" t="n">
        <f aca="false">'2023'!H10</f>
        <v>0</v>
      </c>
      <c r="H10" s="11" t="n">
        <f aca="false">'2023'!I10</f>
        <v>7</v>
      </c>
      <c r="I10" s="11" t="n">
        <f aca="false">'2023'!J10</f>
        <v>2</v>
      </c>
      <c r="J10" s="11" t="n">
        <f aca="false">'2023'!K10</f>
        <v>2</v>
      </c>
      <c r="K10" s="13" t="n">
        <f aca="false">'2023'!L10</f>
        <v>13</v>
      </c>
      <c r="L10" s="11" t="n">
        <f aca="false">'2024'!D10</f>
        <v>0</v>
      </c>
      <c r="M10" s="11" t="n">
        <f aca="false">'2024'!E10</f>
        <v>1</v>
      </c>
      <c r="N10" s="11" t="n">
        <f aca="false">'2024'!F10</f>
        <v>1</v>
      </c>
      <c r="O10" s="11" t="n">
        <f aca="false">'2024'!G10</f>
        <v>4</v>
      </c>
      <c r="P10" s="11" t="n">
        <f aca="false">'2024'!H10</f>
        <v>2</v>
      </c>
      <c r="Q10" s="11" t="n">
        <f aca="false">'2024'!I10</f>
        <v>12</v>
      </c>
      <c r="R10" s="11" t="n">
        <f aca="false">'2024'!J10</f>
        <v>6</v>
      </c>
      <c r="S10" s="11" t="n">
        <f aca="false">'2024'!K10</f>
        <v>1</v>
      </c>
      <c r="T10" s="13" t="n">
        <f aca="false">'2024'!L10</f>
        <v>27</v>
      </c>
      <c r="U10" s="11" t="n">
        <f aca="false">'2025'!D10</f>
        <v>0</v>
      </c>
      <c r="V10" s="11" t="n">
        <f aca="false">'2025'!E10</f>
        <v>0</v>
      </c>
      <c r="W10" s="11" t="n">
        <f aca="false">'2025'!F10</f>
        <v>0</v>
      </c>
      <c r="X10" s="11" t="n">
        <f aca="false">'2025'!G10</f>
        <v>0</v>
      </c>
      <c r="Y10" s="11" t="n">
        <f aca="false">'2025'!H10</f>
        <v>4</v>
      </c>
      <c r="Z10" s="11" t="n">
        <f aca="false">'2025'!I10</f>
        <v>12</v>
      </c>
      <c r="AA10" s="11" t="n">
        <f aca="false">'2025'!J10</f>
        <v>3</v>
      </c>
      <c r="AB10" s="11" t="n">
        <f aca="false">'2025'!K10</f>
        <v>1</v>
      </c>
      <c r="AC10" s="13" t="n">
        <f aca="false">'2025'!L10</f>
        <v>20</v>
      </c>
    </row>
    <row r="11" customFormat="false" ht="14.25" hidden="false" customHeight="false" outlineLevel="0" collapsed="false">
      <c r="A11" s="14" t="n">
        <v>6</v>
      </c>
      <c r="B11" s="15" t="s">
        <v>21</v>
      </c>
      <c r="C11" s="14" t="n">
        <f aca="false">'2023'!D11</f>
        <v>0</v>
      </c>
      <c r="D11" s="14" t="n">
        <f aca="false">'2023'!E11</f>
        <v>0</v>
      </c>
      <c r="E11" s="14" t="n">
        <f aca="false">'2023'!F11</f>
        <v>1</v>
      </c>
      <c r="F11" s="14" t="n">
        <f aca="false">'2023'!G11</f>
        <v>1</v>
      </c>
      <c r="G11" s="14" t="n">
        <f aca="false">'2023'!H11</f>
        <v>0</v>
      </c>
      <c r="H11" s="14" t="n">
        <f aca="false">'2023'!I11</f>
        <v>3</v>
      </c>
      <c r="I11" s="14" t="n">
        <f aca="false">'2023'!J11</f>
        <v>1</v>
      </c>
      <c r="J11" s="14" t="n">
        <f aca="false">'2023'!K11</f>
        <v>1</v>
      </c>
      <c r="K11" s="13" t="n">
        <f aca="false">'2023'!L11</f>
        <v>7</v>
      </c>
      <c r="L11" s="14" t="n">
        <f aca="false">'2024'!D11</f>
        <v>0</v>
      </c>
      <c r="M11" s="14" t="n">
        <f aca="false">'2024'!E11</f>
        <v>0</v>
      </c>
      <c r="N11" s="14" t="n">
        <f aca="false">'2024'!F11</f>
        <v>0</v>
      </c>
      <c r="O11" s="14" t="n">
        <f aca="false">'2024'!G11</f>
        <v>0</v>
      </c>
      <c r="P11" s="14" t="n">
        <f aca="false">'2024'!H11</f>
        <v>1</v>
      </c>
      <c r="Q11" s="14" t="n">
        <f aca="false">'2024'!I11</f>
        <v>3</v>
      </c>
      <c r="R11" s="14" t="n">
        <f aca="false">'2024'!J11</f>
        <v>0</v>
      </c>
      <c r="S11" s="14" t="n">
        <f aca="false">'2024'!K11</f>
        <v>0</v>
      </c>
      <c r="T11" s="13" t="n">
        <f aca="false">'2024'!L11</f>
        <v>4</v>
      </c>
      <c r="U11" s="14" t="n">
        <f aca="false">'2025'!D11</f>
        <v>0</v>
      </c>
      <c r="V11" s="14" t="n">
        <f aca="false">'2025'!E11</f>
        <v>0</v>
      </c>
      <c r="W11" s="14" t="n">
        <f aca="false">'2025'!F11</f>
        <v>4</v>
      </c>
      <c r="X11" s="14" t="n">
        <f aca="false">'2025'!G11</f>
        <v>0</v>
      </c>
      <c r="Y11" s="14" t="n">
        <f aca="false">'2025'!H11</f>
        <v>4</v>
      </c>
      <c r="Z11" s="14" t="n">
        <f aca="false">'2025'!I11</f>
        <v>10</v>
      </c>
      <c r="AA11" s="14" t="n">
        <f aca="false">'2025'!J11</f>
        <v>3</v>
      </c>
      <c r="AB11" s="14" t="n">
        <f aca="false">'2025'!K11</f>
        <v>12</v>
      </c>
      <c r="AC11" s="13" t="n">
        <f aca="false">'2025'!L11</f>
        <v>33</v>
      </c>
    </row>
    <row r="12" customFormat="false" ht="14.25" hidden="false" customHeight="false" outlineLevel="0" collapsed="false">
      <c r="A12" s="11" t="n">
        <v>7</v>
      </c>
      <c r="B12" s="12" t="s">
        <v>22</v>
      </c>
      <c r="C12" s="11" t="n">
        <f aca="false">'2023'!D12</f>
        <v>0</v>
      </c>
      <c r="D12" s="11" t="n">
        <f aca="false">'2023'!E12</f>
        <v>0</v>
      </c>
      <c r="E12" s="11" t="n">
        <f aca="false">'2023'!F12</f>
        <v>0</v>
      </c>
      <c r="F12" s="11" t="n">
        <f aca="false">'2023'!G12</f>
        <v>1</v>
      </c>
      <c r="G12" s="11" t="n">
        <f aca="false">'2023'!H12</f>
        <v>1</v>
      </c>
      <c r="H12" s="11" t="n">
        <f aca="false">'2023'!I12</f>
        <v>4</v>
      </c>
      <c r="I12" s="11" t="n">
        <f aca="false">'2023'!J12</f>
        <v>1</v>
      </c>
      <c r="J12" s="11" t="n">
        <f aca="false">'2023'!K12</f>
        <v>0</v>
      </c>
      <c r="K12" s="13" t="n">
        <f aca="false">'2023'!L12</f>
        <v>7</v>
      </c>
      <c r="L12" s="11" t="n">
        <f aca="false">'2024'!D12</f>
        <v>0</v>
      </c>
      <c r="M12" s="11" t="n">
        <f aca="false">'2024'!E12</f>
        <v>0</v>
      </c>
      <c r="N12" s="11" t="n">
        <f aca="false">'2024'!F12</f>
        <v>0</v>
      </c>
      <c r="O12" s="11" t="n">
        <f aca="false">'2024'!G12</f>
        <v>1</v>
      </c>
      <c r="P12" s="11" t="n">
        <f aca="false">'2024'!H12</f>
        <v>0</v>
      </c>
      <c r="Q12" s="11" t="n">
        <f aca="false">'2024'!I12</f>
        <v>2</v>
      </c>
      <c r="R12" s="11" t="n">
        <f aca="false">'2024'!J12</f>
        <v>1</v>
      </c>
      <c r="S12" s="11" t="n">
        <f aca="false">'2024'!K12</f>
        <v>0</v>
      </c>
      <c r="T12" s="13" t="n">
        <f aca="false">'2024'!L12</f>
        <v>4</v>
      </c>
      <c r="U12" s="11" t="n">
        <f aca="false">'2025'!D12</f>
        <v>0</v>
      </c>
      <c r="V12" s="11" t="n">
        <f aca="false">'2025'!E12</f>
        <v>5</v>
      </c>
      <c r="W12" s="11" t="n">
        <f aca="false">'2025'!F12</f>
        <v>3</v>
      </c>
      <c r="X12" s="11" t="n">
        <f aca="false">'2025'!G12</f>
        <v>2</v>
      </c>
      <c r="Y12" s="11" t="n">
        <f aca="false">'2025'!H12</f>
        <v>9</v>
      </c>
      <c r="Z12" s="11" t="n">
        <f aca="false">'2025'!I12</f>
        <v>14</v>
      </c>
      <c r="AA12" s="11" t="n">
        <f aca="false">'2025'!J12</f>
        <v>9</v>
      </c>
      <c r="AB12" s="11" t="n">
        <f aca="false">'2025'!K12</f>
        <v>0</v>
      </c>
      <c r="AC12" s="13" t="n">
        <f aca="false">'2025'!L12</f>
        <v>42</v>
      </c>
    </row>
    <row r="13" customFormat="false" ht="14.25" hidden="false" customHeight="false" outlineLevel="0" collapsed="false">
      <c r="A13" s="14" t="n">
        <v>8</v>
      </c>
      <c r="B13" s="15" t="s">
        <v>23</v>
      </c>
      <c r="C13" s="14" t="n">
        <f aca="false">'2023'!D13</f>
        <v>0</v>
      </c>
      <c r="D13" s="14" t="n">
        <f aca="false">'2023'!E13</f>
        <v>3</v>
      </c>
      <c r="E13" s="14" t="n">
        <f aca="false">'2023'!F13</f>
        <v>0</v>
      </c>
      <c r="F13" s="14" t="n">
        <f aca="false">'2023'!G13</f>
        <v>3</v>
      </c>
      <c r="G13" s="14" t="n">
        <f aca="false">'2023'!H13</f>
        <v>1</v>
      </c>
      <c r="H13" s="14" t="n">
        <f aca="false">'2023'!I13</f>
        <v>5</v>
      </c>
      <c r="I13" s="14" t="n">
        <f aca="false">'2023'!J13</f>
        <v>1</v>
      </c>
      <c r="J13" s="14" t="n">
        <f aca="false">'2023'!K13</f>
        <v>0</v>
      </c>
      <c r="K13" s="13" t="n">
        <f aca="false">'2023'!L13</f>
        <v>13</v>
      </c>
      <c r="L13" s="14" t="n">
        <f aca="false">'2024'!D13</f>
        <v>0</v>
      </c>
      <c r="M13" s="14" t="n">
        <f aca="false">'2024'!E13</f>
        <v>1</v>
      </c>
      <c r="N13" s="14" t="n">
        <f aca="false">'2024'!F13</f>
        <v>2</v>
      </c>
      <c r="O13" s="14" t="n">
        <f aca="false">'2024'!G13</f>
        <v>3</v>
      </c>
      <c r="P13" s="14" t="n">
        <f aca="false">'2024'!H13</f>
        <v>1</v>
      </c>
      <c r="Q13" s="14" t="n">
        <f aca="false">'2024'!I13</f>
        <v>5</v>
      </c>
      <c r="R13" s="14" t="n">
        <f aca="false">'2024'!J13</f>
        <v>0</v>
      </c>
      <c r="S13" s="14" t="n">
        <f aca="false">'2024'!K13</f>
        <v>0</v>
      </c>
      <c r="T13" s="13" t="n">
        <f aca="false">'2024'!L13</f>
        <v>12</v>
      </c>
      <c r="U13" s="14" t="n">
        <f aca="false">'2025'!D13</f>
        <v>0</v>
      </c>
      <c r="V13" s="14" t="n">
        <f aca="false">'2025'!E13</f>
        <v>0</v>
      </c>
      <c r="W13" s="14" t="n">
        <f aca="false">'2025'!F13</f>
        <v>1</v>
      </c>
      <c r="X13" s="14" t="n">
        <f aca="false">'2025'!G13</f>
        <v>6</v>
      </c>
      <c r="Y13" s="14" t="n">
        <f aca="false">'2025'!H13</f>
        <v>1</v>
      </c>
      <c r="Z13" s="14" t="n">
        <f aca="false">'2025'!I13</f>
        <v>5</v>
      </c>
      <c r="AA13" s="14" t="n">
        <f aca="false">'2025'!J13</f>
        <v>0</v>
      </c>
      <c r="AB13" s="14" t="n">
        <f aca="false">'2025'!K13</f>
        <v>2</v>
      </c>
      <c r="AC13" s="13" t="n">
        <f aca="false">'2025'!L13</f>
        <v>15</v>
      </c>
    </row>
    <row r="14" customFormat="false" ht="14.25" hidden="false" customHeight="false" outlineLevel="0" collapsed="false">
      <c r="A14" s="11" t="n">
        <v>9</v>
      </c>
      <c r="B14" s="12" t="s">
        <v>24</v>
      </c>
      <c r="C14" s="11" t="n">
        <f aca="false">'2023'!D14</f>
        <v>0</v>
      </c>
      <c r="D14" s="11" t="n">
        <f aca="false">'2023'!E14</f>
        <v>1</v>
      </c>
      <c r="E14" s="11" t="n">
        <f aca="false">'2023'!F14</f>
        <v>0</v>
      </c>
      <c r="F14" s="11" t="n">
        <f aca="false">'2023'!G14</f>
        <v>0</v>
      </c>
      <c r="G14" s="11" t="n">
        <f aca="false">'2023'!H14</f>
        <v>1</v>
      </c>
      <c r="H14" s="11" t="n">
        <f aca="false">'2023'!I14</f>
        <v>2</v>
      </c>
      <c r="I14" s="11" t="n">
        <f aca="false">'2023'!J14</f>
        <v>0</v>
      </c>
      <c r="J14" s="11" t="n">
        <f aca="false">'2023'!K14</f>
        <v>0</v>
      </c>
      <c r="K14" s="13" t="n">
        <f aca="false">'2023'!L14</f>
        <v>4</v>
      </c>
      <c r="L14" s="11" t="n">
        <f aca="false">'2024'!D14</f>
        <v>0</v>
      </c>
      <c r="M14" s="11" t="n">
        <f aca="false">'2024'!E14</f>
        <v>0</v>
      </c>
      <c r="N14" s="11" t="n">
        <f aca="false">'2024'!F14</f>
        <v>0</v>
      </c>
      <c r="O14" s="11" t="n">
        <f aca="false">'2024'!G14</f>
        <v>0</v>
      </c>
      <c r="P14" s="11" t="n">
        <f aca="false">'2024'!H14</f>
        <v>0</v>
      </c>
      <c r="Q14" s="11" t="n">
        <f aca="false">'2024'!I14</f>
        <v>0</v>
      </c>
      <c r="R14" s="11" t="n">
        <f aca="false">'2024'!J14</f>
        <v>0</v>
      </c>
      <c r="S14" s="11" t="n">
        <f aca="false">'2024'!K14</f>
        <v>0</v>
      </c>
      <c r="T14" s="13" t="n">
        <f aca="false">'2024'!L14</f>
        <v>0</v>
      </c>
      <c r="U14" s="11" t="n">
        <f aca="false">'2025'!D14</f>
        <v>0</v>
      </c>
      <c r="V14" s="11" t="n">
        <f aca="false">'2025'!E14</f>
        <v>4</v>
      </c>
      <c r="W14" s="11" t="n">
        <f aca="false">'2025'!F14</f>
        <v>3</v>
      </c>
      <c r="X14" s="11" t="n">
        <f aca="false">'2025'!G14</f>
        <v>7</v>
      </c>
      <c r="Y14" s="11" t="n">
        <f aca="false">'2025'!H14</f>
        <v>3</v>
      </c>
      <c r="Z14" s="11" t="n">
        <f aca="false">'2025'!I14</f>
        <v>10</v>
      </c>
      <c r="AA14" s="11" t="n">
        <f aca="false">'2025'!J14</f>
        <v>3</v>
      </c>
      <c r="AB14" s="11" t="n">
        <f aca="false">'2025'!K14</f>
        <v>0</v>
      </c>
      <c r="AC14" s="13" t="n">
        <f aca="false">'2025'!L14</f>
        <v>30</v>
      </c>
    </row>
    <row r="15" customFormat="false" ht="14.25" hidden="false" customHeight="false" outlineLevel="0" collapsed="false">
      <c r="A15" s="14" t="n">
        <v>10</v>
      </c>
      <c r="B15" s="15" t="s">
        <v>25</v>
      </c>
      <c r="C15" s="14" t="n">
        <f aca="false">'2023'!D15</f>
        <v>0</v>
      </c>
      <c r="D15" s="14" t="n">
        <f aca="false">'2023'!E15</f>
        <v>0</v>
      </c>
      <c r="E15" s="14" t="n">
        <f aca="false">'2023'!F15</f>
        <v>0</v>
      </c>
      <c r="F15" s="14" t="n">
        <f aca="false">'2023'!G15</f>
        <v>1</v>
      </c>
      <c r="G15" s="14" t="n">
        <f aca="false">'2023'!H15</f>
        <v>1</v>
      </c>
      <c r="H15" s="14" t="n">
        <f aca="false">'2023'!I15</f>
        <v>0</v>
      </c>
      <c r="I15" s="14" t="n">
        <f aca="false">'2023'!J15</f>
        <v>0</v>
      </c>
      <c r="J15" s="14" t="n">
        <f aca="false">'2023'!K15</f>
        <v>0</v>
      </c>
      <c r="K15" s="13" t="n">
        <f aca="false">'2023'!L15</f>
        <v>2</v>
      </c>
      <c r="L15" s="14" t="n">
        <f aca="false">'2024'!D15</f>
        <v>1</v>
      </c>
      <c r="M15" s="14" t="n">
        <f aca="false">'2024'!E15</f>
        <v>0</v>
      </c>
      <c r="N15" s="14" t="n">
        <f aca="false">'2024'!F15</f>
        <v>6</v>
      </c>
      <c r="O15" s="14" t="n">
        <f aca="false">'2024'!G15</f>
        <v>2</v>
      </c>
      <c r="P15" s="14" t="n">
        <f aca="false">'2024'!H15</f>
        <v>5</v>
      </c>
      <c r="Q15" s="14" t="n">
        <f aca="false">'2024'!I15</f>
        <v>9</v>
      </c>
      <c r="R15" s="14" t="n">
        <f aca="false">'2024'!J15</f>
        <v>1</v>
      </c>
      <c r="S15" s="14" t="n">
        <f aca="false">'2024'!K15</f>
        <v>0</v>
      </c>
      <c r="T15" s="13" t="n">
        <f aca="false">'2024'!L15</f>
        <v>24</v>
      </c>
      <c r="U15" s="14" t="n">
        <f aca="false">'2025'!D15</f>
        <v>0</v>
      </c>
      <c r="V15" s="14" t="n">
        <f aca="false">'2025'!E15</f>
        <v>0</v>
      </c>
      <c r="W15" s="14" t="n">
        <f aca="false">'2025'!F15</f>
        <v>2</v>
      </c>
      <c r="X15" s="14" t="n">
        <f aca="false">'2025'!G15</f>
        <v>0</v>
      </c>
      <c r="Y15" s="14" t="n">
        <f aca="false">'2025'!H15</f>
        <v>0</v>
      </c>
      <c r="Z15" s="14" t="n">
        <f aca="false">'2025'!I15</f>
        <v>0</v>
      </c>
      <c r="AA15" s="14" t="n">
        <f aca="false">'2025'!J15</f>
        <v>0</v>
      </c>
      <c r="AB15" s="14" t="n">
        <f aca="false">'2025'!K15</f>
        <v>0</v>
      </c>
      <c r="AC15" s="13" t="n">
        <f aca="false">'2025'!L15</f>
        <v>2</v>
      </c>
    </row>
    <row r="16" customFormat="false" ht="14.25" hidden="false" customHeight="false" outlineLevel="0" collapsed="false">
      <c r="A16" s="11" t="n">
        <v>11</v>
      </c>
      <c r="B16" s="12" t="s">
        <v>26</v>
      </c>
      <c r="C16" s="11" t="n">
        <f aca="false">'2023'!D16</f>
        <v>0</v>
      </c>
      <c r="D16" s="11" t="n">
        <f aca="false">'2023'!E16</f>
        <v>0</v>
      </c>
      <c r="E16" s="11" t="n">
        <f aca="false">'2023'!F16</f>
        <v>0</v>
      </c>
      <c r="F16" s="11" t="n">
        <f aca="false">'2023'!G16</f>
        <v>1</v>
      </c>
      <c r="G16" s="11" t="n">
        <f aca="false">'2023'!H16</f>
        <v>1</v>
      </c>
      <c r="H16" s="11" t="n">
        <f aca="false">'2023'!I16</f>
        <v>6</v>
      </c>
      <c r="I16" s="11" t="n">
        <f aca="false">'2023'!J16</f>
        <v>0</v>
      </c>
      <c r="J16" s="11" t="n">
        <f aca="false">'2023'!K16</f>
        <v>2</v>
      </c>
      <c r="K16" s="13" t="n">
        <f aca="false">'2023'!L16</f>
        <v>10</v>
      </c>
      <c r="L16" s="11" t="n">
        <f aca="false">'2024'!D16</f>
        <v>0</v>
      </c>
      <c r="M16" s="11" t="n">
        <f aca="false">'2024'!E16</f>
        <v>0</v>
      </c>
      <c r="N16" s="11" t="n">
        <f aca="false">'2024'!F16</f>
        <v>0</v>
      </c>
      <c r="O16" s="11" t="n">
        <f aca="false">'2024'!G16</f>
        <v>0</v>
      </c>
      <c r="P16" s="11" t="n">
        <f aca="false">'2024'!H16</f>
        <v>0</v>
      </c>
      <c r="Q16" s="11" t="n">
        <f aca="false">'2024'!I16</f>
        <v>0</v>
      </c>
      <c r="R16" s="11" t="n">
        <f aca="false">'2024'!J16</f>
        <v>0</v>
      </c>
      <c r="S16" s="11" t="n">
        <f aca="false">'2024'!K16</f>
        <v>0</v>
      </c>
      <c r="T16" s="13" t="n">
        <f aca="false">'2024'!L16</f>
        <v>0</v>
      </c>
      <c r="U16" s="11" t="n">
        <f aca="false">'2025'!D16</f>
        <v>0</v>
      </c>
      <c r="V16" s="11" t="n">
        <f aca="false">'2025'!E16</f>
        <v>1</v>
      </c>
      <c r="W16" s="11" t="n">
        <f aca="false">'2025'!F16</f>
        <v>3</v>
      </c>
      <c r="X16" s="11" t="n">
        <f aca="false">'2025'!G16</f>
        <v>1</v>
      </c>
      <c r="Y16" s="11" t="n">
        <f aca="false">'2025'!H16</f>
        <v>1</v>
      </c>
      <c r="Z16" s="11" t="n">
        <f aca="false">'2025'!I16</f>
        <v>8</v>
      </c>
      <c r="AA16" s="11" t="n">
        <f aca="false">'2025'!J16</f>
        <v>0</v>
      </c>
      <c r="AB16" s="11" t="n">
        <f aca="false">'2025'!K16</f>
        <v>0</v>
      </c>
      <c r="AC16" s="13" t="n">
        <f aca="false">'2025'!L16</f>
        <v>14</v>
      </c>
    </row>
    <row r="17" customFormat="false" ht="14.25" hidden="false" customHeight="false" outlineLevel="0" collapsed="false">
      <c r="A17" s="14" t="n">
        <v>12</v>
      </c>
      <c r="B17" s="15" t="s">
        <v>27</v>
      </c>
      <c r="C17" s="14" t="n">
        <f aca="false">'2023'!D17</f>
        <v>0</v>
      </c>
      <c r="D17" s="14" t="n">
        <f aca="false">'2023'!E17</f>
        <v>0</v>
      </c>
      <c r="E17" s="14" t="n">
        <f aca="false">'2023'!F17</f>
        <v>0</v>
      </c>
      <c r="F17" s="14" t="n">
        <f aca="false">'2023'!G17</f>
        <v>0</v>
      </c>
      <c r="G17" s="14" t="n">
        <f aca="false">'2023'!H17</f>
        <v>1</v>
      </c>
      <c r="H17" s="14" t="n">
        <f aca="false">'2023'!I17</f>
        <v>2</v>
      </c>
      <c r="I17" s="14" t="n">
        <f aca="false">'2023'!J17</f>
        <v>0</v>
      </c>
      <c r="J17" s="14" t="n">
        <f aca="false">'2023'!K17</f>
        <v>0</v>
      </c>
      <c r="K17" s="13" t="n">
        <f aca="false">'2023'!L17</f>
        <v>3</v>
      </c>
      <c r="L17" s="14" t="n">
        <f aca="false">'2024'!D17</f>
        <v>0</v>
      </c>
      <c r="M17" s="14" t="n">
        <f aca="false">'2024'!E17</f>
        <v>0</v>
      </c>
      <c r="N17" s="14" t="n">
        <f aca="false">'2024'!F17</f>
        <v>0</v>
      </c>
      <c r="O17" s="14" t="n">
        <f aca="false">'2024'!G17</f>
        <v>0</v>
      </c>
      <c r="P17" s="14" t="n">
        <f aca="false">'2024'!H17</f>
        <v>0</v>
      </c>
      <c r="Q17" s="14" t="n">
        <f aca="false">'2024'!I17</f>
        <v>0</v>
      </c>
      <c r="R17" s="14" t="n">
        <f aca="false">'2024'!J17</f>
        <v>0</v>
      </c>
      <c r="S17" s="14" t="n">
        <f aca="false">'2024'!K17</f>
        <v>0</v>
      </c>
      <c r="T17" s="13" t="n">
        <f aca="false">'2024'!L17</f>
        <v>0</v>
      </c>
      <c r="U17" s="14" t="n">
        <f aca="false">'2025'!D17</f>
        <v>0</v>
      </c>
      <c r="V17" s="14" t="n">
        <f aca="false">'2025'!E17</f>
        <v>0</v>
      </c>
      <c r="W17" s="14" t="n">
        <f aca="false">'2025'!F17</f>
        <v>0</v>
      </c>
      <c r="X17" s="14" t="n">
        <f aca="false">'2025'!G17</f>
        <v>1</v>
      </c>
      <c r="Y17" s="14" t="n">
        <f aca="false">'2025'!H17</f>
        <v>4</v>
      </c>
      <c r="Z17" s="14" t="n">
        <f aca="false">'2025'!I17</f>
        <v>4</v>
      </c>
      <c r="AA17" s="14" t="n">
        <f aca="false">'2025'!J17</f>
        <v>0</v>
      </c>
      <c r="AB17" s="14" t="n">
        <f aca="false">'2025'!K17</f>
        <v>0</v>
      </c>
      <c r="AC17" s="13" t="n">
        <f aca="false">'2025'!L17</f>
        <v>9</v>
      </c>
    </row>
    <row r="18" customFormat="false" ht="14.25" hidden="false" customHeight="false" outlineLevel="0" collapsed="false">
      <c r="A18" s="11" t="n">
        <v>13</v>
      </c>
      <c r="B18" s="12" t="s">
        <v>28</v>
      </c>
      <c r="C18" s="11" t="n">
        <f aca="false">'2023'!D18</f>
        <v>0</v>
      </c>
      <c r="D18" s="11" t="n">
        <f aca="false">'2023'!E18</f>
        <v>0</v>
      </c>
      <c r="E18" s="11" t="n">
        <f aca="false">'2023'!F18</f>
        <v>1</v>
      </c>
      <c r="F18" s="11" t="n">
        <f aca="false">'2023'!G18</f>
        <v>1</v>
      </c>
      <c r="G18" s="11" t="n">
        <f aca="false">'2023'!H18</f>
        <v>0</v>
      </c>
      <c r="H18" s="11" t="n">
        <f aca="false">'2023'!I18</f>
        <v>0</v>
      </c>
      <c r="I18" s="11" t="n">
        <f aca="false">'2023'!J18</f>
        <v>2</v>
      </c>
      <c r="J18" s="11" t="n">
        <f aca="false">'2023'!K18</f>
        <v>1</v>
      </c>
      <c r="K18" s="13" t="n">
        <f aca="false">'2023'!L18</f>
        <v>5</v>
      </c>
      <c r="L18" s="11" t="n">
        <f aca="false">'2024'!D18</f>
        <v>0</v>
      </c>
      <c r="M18" s="11" t="n">
        <f aca="false">'2024'!E18</f>
        <v>1</v>
      </c>
      <c r="N18" s="11" t="n">
        <f aca="false">'2024'!F18</f>
        <v>7</v>
      </c>
      <c r="O18" s="11" t="n">
        <f aca="false">'2024'!G18</f>
        <v>9</v>
      </c>
      <c r="P18" s="11" t="n">
        <f aca="false">'2024'!H18</f>
        <v>6</v>
      </c>
      <c r="Q18" s="11" t="n">
        <f aca="false">'2024'!I18</f>
        <v>8</v>
      </c>
      <c r="R18" s="11" t="n">
        <f aca="false">'2024'!J18</f>
        <v>0</v>
      </c>
      <c r="S18" s="11" t="n">
        <f aca="false">'2024'!K18</f>
        <v>0</v>
      </c>
      <c r="T18" s="13" t="n">
        <f aca="false">'2024'!L18</f>
        <v>31</v>
      </c>
      <c r="U18" s="11" t="n">
        <f aca="false">'2025'!D18</f>
        <v>0</v>
      </c>
      <c r="V18" s="11" t="n">
        <f aca="false">'2025'!E18</f>
        <v>1</v>
      </c>
      <c r="W18" s="11" t="n">
        <f aca="false">'2025'!F18</f>
        <v>2</v>
      </c>
      <c r="X18" s="11" t="n">
        <f aca="false">'2025'!G18</f>
        <v>1</v>
      </c>
      <c r="Y18" s="11" t="n">
        <f aca="false">'2025'!H18</f>
        <v>6</v>
      </c>
      <c r="Z18" s="11" t="n">
        <f aca="false">'2025'!I18</f>
        <v>4</v>
      </c>
      <c r="AA18" s="11" t="n">
        <f aca="false">'2025'!J18</f>
        <v>0</v>
      </c>
      <c r="AB18" s="11" t="n">
        <f aca="false">'2025'!K18</f>
        <v>0</v>
      </c>
      <c r="AC18" s="13" t="n">
        <f aca="false">'2025'!L18</f>
        <v>14</v>
      </c>
    </row>
    <row r="19" customFormat="false" ht="14.25" hidden="false" customHeight="false" outlineLevel="0" collapsed="false">
      <c r="A19" s="14" t="n">
        <v>14</v>
      </c>
      <c r="B19" s="15" t="s">
        <v>29</v>
      </c>
      <c r="C19" s="14" t="n">
        <f aca="false">'2023'!D19</f>
        <v>0</v>
      </c>
      <c r="D19" s="14" t="n">
        <f aca="false">'2023'!E19</f>
        <v>1</v>
      </c>
      <c r="E19" s="14" t="n">
        <f aca="false">'2023'!F19</f>
        <v>1</v>
      </c>
      <c r="F19" s="14" t="n">
        <f aca="false">'2023'!G19</f>
        <v>2</v>
      </c>
      <c r="G19" s="14" t="n">
        <f aca="false">'2023'!H19</f>
        <v>2</v>
      </c>
      <c r="H19" s="14" t="n">
        <f aca="false">'2023'!I19</f>
        <v>2</v>
      </c>
      <c r="I19" s="14" t="n">
        <f aca="false">'2023'!J19</f>
        <v>0</v>
      </c>
      <c r="J19" s="14" t="n">
        <f aca="false">'2023'!K19</f>
        <v>0</v>
      </c>
      <c r="K19" s="13" t="n">
        <f aca="false">'2023'!L19</f>
        <v>8</v>
      </c>
      <c r="L19" s="14" t="n">
        <f aca="false">'2024'!D19</f>
        <v>1</v>
      </c>
      <c r="M19" s="14" t="n">
        <f aca="false">'2024'!E19</f>
        <v>0</v>
      </c>
      <c r="N19" s="14" t="n">
        <f aca="false">'2024'!F19</f>
        <v>7</v>
      </c>
      <c r="O19" s="14" t="n">
        <f aca="false">'2024'!G19</f>
        <v>12</v>
      </c>
      <c r="P19" s="14" t="n">
        <f aca="false">'2024'!H19</f>
        <v>9</v>
      </c>
      <c r="Q19" s="14" t="n">
        <f aca="false">'2024'!I19</f>
        <v>10</v>
      </c>
      <c r="R19" s="14" t="n">
        <f aca="false">'2024'!J19</f>
        <v>0</v>
      </c>
      <c r="S19" s="14" t="n">
        <f aca="false">'2024'!K19</f>
        <v>0</v>
      </c>
      <c r="T19" s="13" t="n">
        <f aca="false">'2024'!L19</f>
        <v>39</v>
      </c>
      <c r="U19" s="14" t="n">
        <f aca="false">'2025'!D19</f>
        <v>0</v>
      </c>
      <c r="V19" s="14" t="n">
        <f aca="false">'2025'!E19</f>
        <v>0</v>
      </c>
      <c r="W19" s="14" t="n">
        <f aca="false">'2025'!F19</f>
        <v>2</v>
      </c>
      <c r="X19" s="14" t="n">
        <f aca="false">'2025'!G19</f>
        <v>1</v>
      </c>
      <c r="Y19" s="14" t="n">
        <f aca="false">'2025'!H19</f>
        <v>5</v>
      </c>
      <c r="Z19" s="14" t="n">
        <f aca="false">'2025'!I19</f>
        <v>2</v>
      </c>
      <c r="AA19" s="14" t="n">
        <f aca="false">'2025'!J19</f>
        <v>0</v>
      </c>
      <c r="AB19" s="14" t="n">
        <f aca="false">'2025'!K19</f>
        <v>1</v>
      </c>
      <c r="AC19" s="13" t="n">
        <f aca="false">'2025'!L19</f>
        <v>11</v>
      </c>
    </row>
    <row r="20" customFormat="false" ht="14.25" hidden="false" customHeight="false" outlineLevel="0" collapsed="false">
      <c r="A20" s="11" t="n">
        <v>15</v>
      </c>
      <c r="B20" s="12" t="s">
        <v>30</v>
      </c>
      <c r="C20" s="11" t="n">
        <f aca="false">'2023'!D20</f>
        <v>0</v>
      </c>
      <c r="D20" s="11" t="n">
        <f aca="false">'2023'!E20</f>
        <v>0</v>
      </c>
      <c r="E20" s="11" t="n">
        <f aca="false">'2023'!F20</f>
        <v>4</v>
      </c>
      <c r="F20" s="11" t="n">
        <f aca="false">'2023'!G20</f>
        <v>0</v>
      </c>
      <c r="G20" s="11" t="n">
        <f aca="false">'2023'!H20</f>
        <v>0</v>
      </c>
      <c r="H20" s="11" t="n">
        <f aca="false">'2023'!I20</f>
        <v>1</v>
      </c>
      <c r="I20" s="11" t="n">
        <f aca="false">'2023'!J20</f>
        <v>2</v>
      </c>
      <c r="J20" s="11" t="n">
        <f aca="false">'2023'!K20</f>
        <v>0</v>
      </c>
      <c r="K20" s="13" t="n">
        <f aca="false">'2023'!L20</f>
        <v>7</v>
      </c>
      <c r="L20" s="11" t="n">
        <f aca="false">'2024'!D20</f>
        <v>0</v>
      </c>
      <c r="M20" s="11" t="n">
        <f aca="false">'2024'!E20</f>
        <v>1</v>
      </c>
      <c r="N20" s="11" t="n">
        <f aca="false">'2024'!F20</f>
        <v>0</v>
      </c>
      <c r="O20" s="11" t="n">
        <f aca="false">'2024'!G20</f>
        <v>0</v>
      </c>
      <c r="P20" s="11" t="n">
        <f aca="false">'2024'!H20</f>
        <v>0</v>
      </c>
      <c r="Q20" s="11" t="n">
        <f aca="false">'2024'!I20</f>
        <v>0</v>
      </c>
      <c r="R20" s="11" t="n">
        <f aca="false">'2024'!J20</f>
        <v>0</v>
      </c>
      <c r="S20" s="11" t="n">
        <f aca="false">'2024'!K20</f>
        <v>0</v>
      </c>
      <c r="T20" s="13" t="n">
        <f aca="false">'2024'!L20</f>
        <v>1</v>
      </c>
      <c r="U20" s="11" t="n">
        <f aca="false">'2025'!D20</f>
        <v>0</v>
      </c>
      <c r="V20" s="11" t="n">
        <f aca="false">'2025'!E20</f>
        <v>0</v>
      </c>
      <c r="W20" s="11" t="n">
        <f aca="false">'2025'!F20</f>
        <v>1</v>
      </c>
      <c r="X20" s="11" t="n">
        <f aca="false">'2025'!G20</f>
        <v>0</v>
      </c>
      <c r="Y20" s="11" t="n">
        <f aca="false">'2025'!H20</f>
        <v>0</v>
      </c>
      <c r="Z20" s="11" t="n">
        <f aca="false">'2025'!I20</f>
        <v>0</v>
      </c>
      <c r="AA20" s="11" t="n">
        <f aca="false">'2025'!J20</f>
        <v>0</v>
      </c>
      <c r="AB20" s="11" t="n">
        <f aca="false">'2025'!K20</f>
        <v>0</v>
      </c>
      <c r="AC20" s="13" t="n">
        <f aca="false">'2025'!L20</f>
        <v>1</v>
      </c>
    </row>
    <row r="21" customFormat="false" ht="14.25" hidden="false" customHeight="false" outlineLevel="0" collapsed="false">
      <c r="A21" s="14" t="n">
        <v>16</v>
      </c>
      <c r="B21" s="15" t="s">
        <v>31</v>
      </c>
      <c r="C21" s="14" t="n">
        <f aca="false">'2023'!D21</f>
        <v>0</v>
      </c>
      <c r="D21" s="14" t="n">
        <f aca="false">'2023'!E21</f>
        <v>0</v>
      </c>
      <c r="E21" s="14" t="n">
        <f aca="false">'2023'!F21</f>
        <v>1</v>
      </c>
      <c r="F21" s="14" t="n">
        <f aca="false">'2023'!G21</f>
        <v>0</v>
      </c>
      <c r="G21" s="14" t="n">
        <f aca="false">'2023'!H21</f>
        <v>0</v>
      </c>
      <c r="H21" s="14" t="n">
        <f aca="false">'2023'!I21</f>
        <v>2</v>
      </c>
      <c r="I21" s="14" t="n">
        <f aca="false">'2023'!J21</f>
        <v>0</v>
      </c>
      <c r="J21" s="14" t="n">
        <f aca="false">'2023'!K21</f>
        <v>0</v>
      </c>
      <c r="K21" s="13" t="n">
        <f aca="false">'2023'!L21</f>
        <v>3</v>
      </c>
      <c r="L21" s="14" t="n">
        <f aca="false">'2024'!D21</f>
        <v>0</v>
      </c>
      <c r="M21" s="14" t="n">
        <f aca="false">'2024'!E21</f>
        <v>0</v>
      </c>
      <c r="N21" s="14" t="n">
        <f aca="false">'2024'!F21</f>
        <v>0</v>
      </c>
      <c r="O21" s="14" t="n">
        <f aca="false">'2024'!G21</f>
        <v>1</v>
      </c>
      <c r="P21" s="14" t="n">
        <f aca="false">'2024'!H21</f>
        <v>1</v>
      </c>
      <c r="Q21" s="14" t="n">
        <f aca="false">'2024'!I21</f>
        <v>4</v>
      </c>
      <c r="R21" s="14" t="n">
        <f aca="false">'2024'!J21</f>
        <v>0</v>
      </c>
      <c r="S21" s="14" t="n">
        <f aca="false">'2024'!K21</f>
        <v>0</v>
      </c>
      <c r="T21" s="13" t="n">
        <f aca="false">'2024'!L21</f>
        <v>6</v>
      </c>
      <c r="U21" s="14" t="n">
        <f aca="false">'2025'!D21</f>
        <v>0</v>
      </c>
      <c r="V21" s="14" t="n">
        <f aca="false">'2025'!E21</f>
        <v>0</v>
      </c>
      <c r="W21" s="14" t="n">
        <f aca="false">'2025'!F21</f>
        <v>0</v>
      </c>
      <c r="X21" s="14" t="n">
        <f aca="false">'2025'!G21</f>
        <v>1</v>
      </c>
      <c r="Y21" s="14" t="n">
        <f aca="false">'2025'!H21</f>
        <v>0</v>
      </c>
      <c r="Z21" s="14" t="n">
        <f aca="false">'2025'!I21</f>
        <v>5</v>
      </c>
      <c r="AA21" s="14" t="n">
        <f aca="false">'2025'!J21</f>
        <v>0</v>
      </c>
      <c r="AB21" s="14" t="n">
        <f aca="false">'2025'!K21</f>
        <v>1</v>
      </c>
      <c r="AC21" s="13" t="n">
        <f aca="false">'2025'!L21</f>
        <v>7</v>
      </c>
    </row>
    <row r="22" customFormat="false" ht="14.25" hidden="false" customHeight="false" outlineLevel="0" collapsed="false">
      <c r="A22" s="11" t="n">
        <v>17</v>
      </c>
      <c r="B22" s="12" t="s">
        <v>32</v>
      </c>
      <c r="C22" s="11" t="n">
        <f aca="false">'2023'!D22</f>
        <v>0</v>
      </c>
      <c r="D22" s="11" t="n">
        <f aca="false">'2023'!E22</f>
        <v>0</v>
      </c>
      <c r="E22" s="11" t="n">
        <f aca="false">'2023'!F22</f>
        <v>1</v>
      </c>
      <c r="F22" s="11" t="n">
        <f aca="false">'2023'!G22</f>
        <v>1</v>
      </c>
      <c r="G22" s="11" t="n">
        <f aca="false">'2023'!H22</f>
        <v>0</v>
      </c>
      <c r="H22" s="11" t="n">
        <f aca="false">'2023'!I22</f>
        <v>1</v>
      </c>
      <c r="I22" s="11" t="n">
        <f aca="false">'2023'!J22</f>
        <v>1</v>
      </c>
      <c r="J22" s="11" t="n">
        <f aca="false">'2023'!K22</f>
        <v>0</v>
      </c>
      <c r="K22" s="13" t="n">
        <f aca="false">'2023'!L22</f>
        <v>4</v>
      </c>
      <c r="L22" s="11" t="n">
        <f aca="false">'2024'!D22</f>
        <v>0</v>
      </c>
      <c r="M22" s="11" t="n">
        <f aca="false">'2024'!E22</f>
        <v>0</v>
      </c>
      <c r="N22" s="11" t="n">
        <f aca="false">'2024'!F22</f>
        <v>0</v>
      </c>
      <c r="O22" s="11" t="n">
        <f aca="false">'2024'!G22</f>
        <v>0</v>
      </c>
      <c r="P22" s="11" t="n">
        <f aca="false">'2024'!H22</f>
        <v>0</v>
      </c>
      <c r="Q22" s="11" t="n">
        <f aca="false">'2024'!I22</f>
        <v>0</v>
      </c>
      <c r="R22" s="11" t="n">
        <f aca="false">'2024'!J22</f>
        <v>0</v>
      </c>
      <c r="S22" s="11" t="n">
        <f aca="false">'2024'!K22</f>
        <v>0</v>
      </c>
      <c r="T22" s="13" t="n">
        <f aca="false">'2024'!L22</f>
        <v>0</v>
      </c>
      <c r="U22" s="11" t="n">
        <f aca="false">'2025'!D22</f>
        <v>0</v>
      </c>
      <c r="V22" s="11" t="n">
        <f aca="false">'2025'!E22</f>
        <v>0</v>
      </c>
      <c r="W22" s="11" t="n">
        <f aca="false">'2025'!F22</f>
        <v>2</v>
      </c>
      <c r="X22" s="11" t="n">
        <f aca="false">'2025'!G22</f>
        <v>1</v>
      </c>
      <c r="Y22" s="11" t="n">
        <f aca="false">'2025'!H22</f>
        <v>1</v>
      </c>
      <c r="Z22" s="11" t="n">
        <f aca="false">'2025'!I22</f>
        <v>7</v>
      </c>
      <c r="AA22" s="11" t="n">
        <f aca="false">'2025'!J22</f>
        <v>3</v>
      </c>
      <c r="AB22" s="11" t="n">
        <f aca="false">'2025'!K22</f>
        <v>1</v>
      </c>
      <c r="AC22" s="13" t="n">
        <f aca="false">'2025'!L22</f>
        <v>15</v>
      </c>
    </row>
    <row r="23" customFormat="false" ht="14.25" hidden="false" customHeight="false" outlineLevel="0" collapsed="false">
      <c r="A23" s="14" t="n">
        <v>18</v>
      </c>
      <c r="B23" s="15" t="s">
        <v>33</v>
      </c>
      <c r="C23" s="14" t="n">
        <f aca="false">'2023'!D23</f>
        <v>0</v>
      </c>
      <c r="D23" s="14" t="n">
        <f aca="false">'2023'!E23</f>
        <v>1</v>
      </c>
      <c r="E23" s="14" t="n">
        <f aca="false">'2023'!F23</f>
        <v>0</v>
      </c>
      <c r="F23" s="14" t="n">
        <f aca="false">'2023'!G23</f>
        <v>0</v>
      </c>
      <c r="G23" s="14" t="n">
        <f aca="false">'2023'!H23</f>
        <v>0</v>
      </c>
      <c r="H23" s="14" t="n">
        <f aca="false">'2023'!I23</f>
        <v>1</v>
      </c>
      <c r="I23" s="14" t="n">
        <f aca="false">'2023'!J23</f>
        <v>3</v>
      </c>
      <c r="J23" s="14" t="n">
        <f aca="false">'2023'!K23</f>
        <v>0</v>
      </c>
      <c r="K23" s="13" t="n">
        <f aca="false">'2023'!L23</f>
        <v>5</v>
      </c>
      <c r="L23" s="14" t="n">
        <f aca="false">'2024'!D23</f>
        <v>2</v>
      </c>
      <c r="M23" s="14" t="n">
        <f aca="false">'2024'!E23</f>
        <v>0</v>
      </c>
      <c r="N23" s="14" t="n">
        <f aca="false">'2024'!F23</f>
        <v>3</v>
      </c>
      <c r="O23" s="14" t="n">
        <f aca="false">'2024'!G23</f>
        <v>3</v>
      </c>
      <c r="P23" s="14" t="n">
        <f aca="false">'2024'!H23</f>
        <v>6</v>
      </c>
      <c r="Q23" s="14" t="n">
        <f aca="false">'2024'!I23</f>
        <v>11</v>
      </c>
      <c r="R23" s="14" t="n">
        <f aca="false">'2024'!J23</f>
        <v>4</v>
      </c>
      <c r="S23" s="14" t="n">
        <f aca="false">'2024'!K23</f>
        <v>0</v>
      </c>
      <c r="T23" s="13" t="n">
        <f aca="false">'2024'!L23</f>
        <v>29</v>
      </c>
      <c r="U23" s="14" t="n">
        <f aca="false">'2025'!D23</f>
        <v>0</v>
      </c>
      <c r="V23" s="14" t="n">
        <f aca="false">'2025'!E23</f>
        <v>0</v>
      </c>
      <c r="W23" s="14" t="n">
        <f aca="false">'2025'!F23</f>
        <v>0</v>
      </c>
      <c r="X23" s="14" t="n">
        <f aca="false">'2025'!G23</f>
        <v>0</v>
      </c>
      <c r="Y23" s="14" t="n">
        <f aca="false">'2025'!H23</f>
        <v>6</v>
      </c>
      <c r="Z23" s="14" t="n">
        <f aca="false">'2025'!I23</f>
        <v>20</v>
      </c>
      <c r="AA23" s="14" t="n">
        <f aca="false">'2025'!J23</f>
        <v>3</v>
      </c>
      <c r="AB23" s="14" t="n">
        <f aca="false">'2025'!K23</f>
        <v>4</v>
      </c>
      <c r="AC23" s="13" t="n">
        <f aca="false">'2025'!L23</f>
        <v>33</v>
      </c>
    </row>
    <row r="24" customFormat="false" ht="14.25" hidden="false" customHeight="false" outlineLevel="0" collapsed="false">
      <c r="A24" s="11" t="n">
        <v>19</v>
      </c>
      <c r="B24" s="12" t="s">
        <v>34</v>
      </c>
      <c r="C24" s="11" t="n">
        <f aca="false">'2023'!D24</f>
        <v>0</v>
      </c>
      <c r="D24" s="11" t="n">
        <f aca="false">'2023'!E24</f>
        <v>0</v>
      </c>
      <c r="E24" s="11" t="n">
        <f aca="false">'2023'!F24</f>
        <v>0</v>
      </c>
      <c r="F24" s="11" t="n">
        <f aca="false">'2023'!G24</f>
        <v>0</v>
      </c>
      <c r="G24" s="11" t="n">
        <f aca="false">'2023'!H24</f>
        <v>0</v>
      </c>
      <c r="H24" s="11" t="n">
        <f aca="false">'2023'!I24</f>
        <v>0</v>
      </c>
      <c r="I24" s="11" t="n">
        <f aca="false">'2023'!J24</f>
        <v>2</v>
      </c>
      <c r="J24" s="11" t="n">
        <f aca="false">'2023'!K24</f>
        <v>0</v>
      </c>
      <c r="K24" s="13" t="n">
        <f aca="false">'2023'!L24</f>
        <v>2</v>
      </c>
      <c r="L24" s="11" t="n">
        <f aca="false">'2024'!D24</f>
        <v>0</v>
      </c>
      <c r="M24" s="11" t="n">
        <f aca="false">'2024'!E24</f>
        <v>0</v>
      </c>
      <c r="N24" s="11" t="n">
        <f aca="false">'2024'!F24</f>
        <v>0</v>
      </c>
      <c r="O24" s="11" t="n">
        <f aca="false">'2024'!G24</f>
        <v>0</v>
      </c>
      <c r="P24" s="11" t="n">
        <f aca="false">'2024'!H24</f>
        <v>0</v>
      </c>
      <c r="Q24" s="11" t="n">
        <f aca="false">'2024'!I24</f>
        <v>0</v>
      </c>
      <c r="R24" s="11" t="n">
        <f aca="false">'2024'!J24</f>
        <v>0</v>
      </c>
      <c r="S24" s="11" t="n">
        <f aca="false">'2024'!K24</f>
        <v>0</v>
      </c>
      <c r="T24" s="13" t="n">
        <f aca="false">'2024'!L24</f>
        <v>0</v>
      </c>
      <c r="U24" s="11" t="n">
        <f aca="false">'2025'!D24</f>
        <v>0</v>
      </c>
      <c r="V24" s="11" t="n">
        <f aca="false">'2025'!E24</f>
        <v>1</v>
      </c>
      <c r="W24" s="11" t="n">
        <f aca="false">'2025'!F24</f>
        <v>2</v>
      </c>
      <c r="X24" s="11" t="n">
        <f aca="false">'2025'!G24</f>
        <v>1</v>
      </c>
      <c r="Y24" s="11" t="n">
        <f aca="false">'2025'!H24</f>
        <v>2</v>
      </c>
      <c r="Z24" s="11" t="n">
        <f aca="false">'2025'!I24</f>
        <v>7</v>
      </c>
      <c r="AA24" s="11" t="n">
        <f aca="false">'2025'!J24</f>
        <v>1</v>
      </c>
      <c r="AB24" s="11" t="n">
        <f aca="false">'2025'!K24</f>
        <v>1</v>
      </c>
      <c r="AC24" s="13" t="n">
        <f aca="false">'2025'!L24</f>
        <v>15</v>
      </c>
    </row>
    <row r="25" customFormat="false" ht="14.25" hidden="false" customHeight="false" outlineLevel="0" collapsed="false">
      <c r="A25" s="14" t="n">
        <v>20</v>
      </c>
      <c r="B25" s="15" t="s">
        <v>35</v>
      </c>
      <c r="C25" s="14" t="n">
        <f aca="false">'2023'!D25</f>
        <v>0</v>
      </c>
      <c r="D25" s="14" t="n">
        <f aca="false">'2023'!E25</f>
        <v>0</v>
      </c>
      <c r="E25" s="14" t="n">
        <f aca="false">'2023'!F25</f>
        <v>0</v>
      </c>
      <c r="F25" s="14" t="n">
        <f aca="false">'2023'!G25</f>
        <v>0</v>
      </c>
      <c r="G25" s="14" t="n">
        <f aca="false">'2023'!H25</f>
        <v>2</v>
      </c>
      <c r="H25" s="14" t="n">
        <f aca="false">'2023'!I25</f>
        <v>1</v>
      </c>
      <c r="I25" s="14" t="n">
        <f aca="false">'2023'!J25</f>
        <v>1</v>
      </c>
      <c r="J25" s="14" t="n">
        <f aca="false">'2023'!K25</f>
        <v>0</v>
      </c>
      <c r="K25" s="13" t="n">
        <f aca="false">'2023'!L25</f>
        <v>4</v>
      </c>
      <c r="L25" s="14" t="n">
        <f aca="false">'2024'!D25</f>
        <v>0</v>
      </c>
      <c r="M25" s="14" t="n">
        <f aca="false">'2024'!E25</f>
        <v>0</v>
      </c>
      <c r="N25" s="14" t="n">
        <f aca="false">'2024'!F25</f>
        <v>0</v>
      </c>
      <c r="O25" s="14" t="n">
        <f aca="false">'2024'!G25</f>
        <v>1</v>
      </c>
      <c r="P25" s="14" t="n">
        <f aca="false">'2024'!H25</f>
        <v>1</v>
      </c>
      <c r="Q25" s="14" t="n">
        <f aca="false">'2024'!I25</f>
        <v>4</v>
      </c>
      <c r="R25" s="14" t="n">
        <f aca="false">'2024'!J25</f>
        <v>3</v>
      </c>
      <c r="S25" s="14" t="n">
        <f aca="false">'2024'!K25</f>
        <v>0</v>
      </c>
      <c r="T25" s="13" t="n">
        <f aca="false">'2024'!L25</f>
        <v>9</v>
      </c>
      <c r="U25" s="14" t="n">
        <f aca="false">'2025'!D25</f>
        <v>0</v>
      </c>
      <c r="V25" s="14" t="n">
        <f aca="false">'2025'!E25</f>
        <v>1</v>
      </c>
      <c r="W25" s="14" t="n">
        <f aca="false">'2025'!F25</f>
        <v>1</v>
      </c>
      <c r="X25" s="14" t="n">
        <f aca="false">'2025'!G25</f>
        <v>0</v>
      </c>
      <c r="Y25" s="14" t="n">
        <f aca="false">'2025'!H25</f>
        <v>2</v>
      </c>
      <c r="Z25" s="14" t="n">
        <f aca="false">'2025'!I25</f>
        <v>4</v>
      </c>
      <c r="AA25" s="14" t="n">
        <f aca="false">'2025'!J25</f>
        <v>2</v>
      </c>
      <c r="AB25" s="14" t="n">
        <f aca="false">'2025'!K25</f>
        <v>0</v>
      </c>
      <c r="AC25" s="13" t="n">
        <f aca="false">'2025'!L25</f>
        <v>10</v>
      </c>
    </row>
    <row r="26" customFormat="false" ht="14.25" hidden="false" customHeight="false" outlineLevel="0" collapsed="false">
      <c r="A26" s="11" t="n">
        <v>21</v>
      </c>
      <c r="B26" s="12" t="s">
        <v>36</v>
      </c>
      <c r="C26" s="11" t="n">
        <f aca="false">'2023'!D26</f>
        <v>0</v>
      </c>
      <c r="D26" s="11" t="n">
        <f aca="false">'2023'!E26</f>
        <v>0</v>
      </c>
      <c r="E26" s="11" t="n">
        <f aca="false">'2023'!F26</f>
        <v>2</v>
      </c>
      <c r="F26" s="11" t="n">
        <f aca="false">'2023'!G26</f>
        <v>1</v>
      </c>
      <c r="G26" s="11" t="n">
        <f aca="false">'2023'!H26</f>
        <v>4</v>
      </c>
      <c r="H26" s="11" t="n">
        <f aca="false">'2023'!I26</f>
        <v>0</v>
      </c>
      <c r="I26" s="11" t="n">
        <f aca="false">'2023'!J26</f>
        <v>0</v>
      </c>
      <c r="J26" s="11" t="n">
        <f aca="false">'2023'!K26</f>
        <v>0</v>
      </c>
      <c r="K26" s="13" t="n">
        <f aca="false">'2023'!L26</f>
        <v>7</v>
      </c>
      <c r="L26" s="11" t="n">
        <f aca="false">'2024'!D26</f>
        <v>0</v>
      </c>
      <c r="M26" s="11" t="n">
        <f aca="false">'2024'!E26</f>
        <v>1</v>
      </c>
      <c r="N26" s="11" t="n">
        <f aca="false">'2024'!F26</f>
        <v>1</v>
      </c>
      <c r="O26" s="11" t="n">
        <f aca="false">'2024'!G26</f>
        <v>2</v>
      </c>
      <c r="P26" s="11" t="n">
        <f aca="false">'2024'!H26</f>
        <v>0</v>
      </c>
      <c r="Q26" s="11" t="n">
        <f aca="false">'2024'!I26</f>
        <v>2</v>
      </c>
      <c r="R26" s="11" t="n">
        <f aca="false">'2024'!J26</f>
        <v>2</v>
      </c>
      <c r="S26" s="11" t="n">
        <f aca="false">'2024'!K26</f>
        <v>0</v>
      </c>
      <c r="T26" s="13" t="n">
        <f aca="false">'2024'!L26</f>
        <v>8</v>
      </c>
      <c r="U26" s="11" t="n">
        <f aca="false">'2025'!D26</f>
        <v>0</v>
      </c>
      <c r="V26" s="11" t="n">
        <f aca="false">'2025'!E26</f>
        <v>0</v>
      </c>
      <c r="W26" s="11" t="n">
        <f aca="false">'2025'!F26</f>
        <v>0</v>
      </c>
      <c r="X26" s="11" t="n">
        <f aca="false">'2025'!G26</f>
        <v>2</v>
      </c>
      <c r="Y26" s="11" t="n">
        <f aca="false">'2025'!H26</f>
        <v>2</v>
      </c>
      <c r="Z26" s="11" t="n">
        <f aca="false">'2025'!I26</f>
        <v>4</v>
      </c>
      <c r="AA26" s="11" t="n">
        <f aca="false">'2025'!J26</f>
        <v>0</v>
      </c>
      <c r="AB26" s="11" t="n">
        <f aca="false">'2025'!K26</f>
        <v>0</v>
      </c>
      <c r="AC26" s="13" t="n">
        <f aca="false">'2025'!L26</f>
        <v>8</v>
      </c>
    </row>
    <row r="27" customFormat="false" ht="14.25" hidden="false" customHeight="false" outlineLevel="0" collapsed="false">
      <c r="A27" s="14" t="n">
        <v>22</v>
      </c>
      <c r="B27" s="15" t="s">
        <v>37</v>
      </c>
      <c r="C27" s="14" t="n">
        <f aca="false">'2023'!D27</f>
        <v>0</v>
      </c>
      <c r="D27" s="14" t="n">
        <f aca="false">'2023'!E27</f>
        <v>1</v>
      </c>
      <c r="E27" s="14" t="n">
        <f aca="false">'2023'!F27</f>
        <v>1</v>
      </c>
      <c r="F27" s="14" t="n">
        <f aca="false">'2023'!G27</f>
        <v>1</v>
      </c>
      <c r="G27" s="14" t="n">
        <f aca="false">'2023'!H27</f>
        <v>2</v>
      </c>
      <c r="H27" s="14" t="n">
        <f aca="false">'2023'!I27</f>
        <v>1</v>
      </c>
      <c r="I27" s="14" t="n">
        <f aca="false">'2023'!J27</f>
        <v>0</v>
      </c>
      <c r="J27" s="14" t="n">
        <f aca="false">'2023'!K27</f>
        <v>1</v>
      </c>
      <c r="K27" s="13" t="n">
        <f aca="false">'2023'!L27</f>
        <v>7</v>
      </c>
      <c r="L27" s="14" t="n">
        <f aca="false">'2024'!D27</f>
        <v>0</v>
      </c>
      <c r="M27" s="14" t="n">
        <f aca="false">'2024'!E27</f>
        <v>0</v>
      </c>
      <c r="N27" s="14" t="n">
        <f aca="false">'2024'!F27</f>
        <v>0</v>
      </c>
      <c r="O27" s="14" t="n">
        <f aca="false">'2024'!G27</f>
        <v>0</v>
      </c>
      <c r="P27" s="14" t="n">
        <f aca="false">'2024'!H27</f>
        <v>0</v>
      </c>
      <c r="Q27" s="14" t="n">
        <f aca="false">'2024'!I27</f>
        <v>0</v>
      </c>
      <c r="R27" s="14" t="n">
        <f aca="false">'2024'!J27</f>
        <v>0</v>
      </c>
      <c r="S27" s="14" t="n">
        <f aca="false">'2024'!K27</f>
        <v>0</v>
      </c>
      <c r="T27" s="13" t="n">
        <f aca="false">'2024'!L27</f>
        <v>0</v>
      </c>
      <c r="U27" s="14" t="n">
        <f aca="false">'2025'!D27</f>
        <v>0</v>
      </c>
      <c r="V27" s="14" t="n">
        <f aca="false">'2025'!E27</f>
        <v>0</v>
      </c>
      <c r="W27" s="14" t="n">
        <f aca="false">'2025'!F27</f>
        <v>0</v>
      </c>
      <c r="X27" s="14" t="n">
        <f aca="false">'2025'!G27</f>
        <v>3</v>
      </c>
      <c r="Y27" s="14" t="n">
        <f aca="false">'2025'!H27</f>
        <v>0</v>
      </c>
      <c r="Z27" s="14" t="n">
        <f aca="false">'2025'!I27</f>
        <v>7</v>
      </c>
      <c r="AA27" s="14" t="n">
        <f aca="false">'2025'!J27</f>
        <v>1</v>
      </c>
      <c r="AB27" s="14" t="n">
        <f aca="false">'2025'!K27</f>
        <v>2</v>
      </c>
      <c r="AC27" s="13" t="n">
        <f aca="false">'2025'!L27</f>
        <v>13</v>
      </c>
    </row>
    <row r="28" customFormat="false" ht="14.25" hidden="false" customHeight="false" outlineLevel="0" collapsed="false">
      <c r="A28" s="11" t="n">
        <v>23</v>
      </c>
      <c r="B28" s="12" t="s">
        <v>38</v>
      </c>
      <c r="C28" s="11" t="n">
        <f aca="false">'2023'!D28</f>
        <v>0</v>
      </c>
      <c r="D28" s="11" t="n">
        <f aca="false">'2023'!E28</f>
        <v>0</v>
      </c>
      <c r="E28" s="11" t="n">
        <f aca="false">'2023'!F28</f>
        <v>3</v>
      </c>
      <c r="F28" s="11" t="n">
        <f aca="false">'2023'!G28</f>
        <v>0</v>
      </c>
      <c r="G28" s="11" t="n">
        <f aca="false">'2023'!H28</f>
        <v>0</v>
      </c>
      <c r="H28" s="11" t="n">
        <f aca="false">'2023'!I28</f>
        <v>0</v>
      </c>
      <c r="I28" s="11" t="n">
        <f aca="false">'2023'!J28</f>
        <v>0</v>
      </c>
      <c r="J28" s="11" t="n">
        <f aca="false">'2023'!K28</f>
        <v>0</v>
      </c>
      <c r="K28" s="13" t="n">
        <f aca="false">'2023'!L28</f>
        <v>3</v>
      </c>
      <c r="L28" s="11" t="n">
        <f aca="false">'2024'!D28</f>
        <v>0</v>
      </c>
      <c r="M28" s="11" t="n">
        <f aca="false">'2024'!E28</f>
        <v>0</v>
      </c>
      <c r="N28" s="11" t="n">
        <f aca="false">'2024'!F28</f>
        <v>1</v>
      </c>
      <c r="O28" s="11" t="n">
        <f aca="false">'2024'!G28</f>
        <v>1</v>
      </c>
      <c r="P28" s="11" t="n">
        <f aca="false">'2024'!H28</f>
        <v>3</v>
      </c>
      <c r="Q28" s="11" t="n">
        <f aca="false">'2024'!I28</f>
        <v>9</v>
      </c>
      <c r="R28" s="11" t="n">
        <f aca="false">'2024'!J28</f>
        <v>0</v>
      </c>
      <c r="S28" s="11" t="n">
        <f aca="false">'2024'!K28</f>
        <v>0</v>
      </c>
      <c r="T28" s="13" t="n">
        <f aca="false">'2024'!L28</f>
        <v>14</v>
      </c>
      <c r="U28" s="11" t="n">
        <f aca="false">'2025'!D28</f>
        <v>0</v>
      </c>
      <c r="V28" s="11" t="n">
        <f aca="false">'2025'!E28</f>
        <v>0</v>
      </c>
      <c r="W28" s="11" t="n">
        <f aca="false">'2025'!F28</f>
        <v>0</v>
      </c>
      <c r="X28" s="11" t="n">
        <f aca="false">'2025'!G28</f>
        <v>0</v>
      </c>
      <c r="Y28" s="11" t="n">
        <f aca="false">'2025'!H28</f>
        <v>2</v>
      </c>
      <c r="Z28" s="11" t="n">
        <f aca="false">'2025'!I28</f>
        <v>4</v>
      </c>
      <c r="AA28" s="11" t="n">
        <f aca="false">'2025'!J28</f>
        <v>3</v>
      </c>
      <c r="AB28" s="11" t="n">
        <f aca="false">'2025'!K28</f>
        <v>0</v>
      </c>
      <c r="AC28" s="13" t="n">
        <f aca="false">'2025'!L28</f>
        <v>9</v>
      </c>
    </row>
    <row r="29" customFormat="false" ht="14.25" hidden="false" customHeight="false" outlineLevel="0" collapsed="false">
      <c r="A29" s="14" t="n">
        <v>24</v>
      </c>
      <c r="B29" s="15" t="s">
        <v>39</v>
      </c>
      <c r="C29" s="14" t="n">
        <f aca="false">'2023'!D29</f>
        <v>0</v>
      </c>
      <c r="D29" s="14" t="n">
        <f aca="false">'2023'!E29</f>
        <v>0</v>
      </c>
      <c r="E29" s="14" t="n">
        <f aca="false">'2023'!F29</f>
        <v>1</v>
      </c>
      <c r="F29" s="14" t="n">
        <f aca="false">'2023'!G29</f>
        <v>0</v>
      </c>
      <c r="G29" s="14" t="n">
        <f aca="false">'2023'!H29</f>
        <v>1</v>
      </c>
      <c r="H29" s="14" t="n">
        <f aca="false">'2023'!I29</f>
        <v>1</v>
      </c>
      <c r="I29" s="14" t="n">
        <f aca="false">'2023'!J29</f>
        <v>1</v>
      </c>
      <c r="J29" s="14" t="n">
        <f aca="false">'2023'!K29</f>
        <v>1</v>
      </c>
      <c r="K29" s="13" t="n">
        <f aca="false">'2023'!L29</f>
        <v>5</v>
      </c>
      <c r="L29" s="14" t="n">
        <f aca="false">'2024'!D29</f>
        <v>0</v>
      </c>
      <c r="M29" s="14" t="n">
        <f aca="false">'2024'!E29</f>
        <v>0</v>
      </c>
      <c r="N29" s="14" t="n">
        <f aca="false">'2024'!F29</f>
        <v>0</v>
      </c>
      <c r="O29" s="14" t="n">
        <f aca="false">'2024'!G29</f>
        <v>1</v>
      </c>
      <c r="P29" s="14" t="n">
        <f aca="false">'2024'!H29</f>
        <v>3</v>
      </c>
      <c r="Q29" s="14" t="n">
        <f aca="false">'2024'!I29</f>
        <v>13</v>
      </c>
      <c r="R29" s="14" t="n">
        <f aca="false">'2024'!J29</f>
        <v>4</v>
      </c>
      <c r="S29" s="14" t="n">
        <f aca="false">'2024'!K29</f>
        <v>1</v>
      </c>
      <c r="T29" s="13" t="n">
        <f aca="false">'2024'!L29</f>
        <v>22</v>
      </c>
      <c r="U29" s="14" t="n">
        <f aca="false">'2025'!D29</f>
        <v>0</v>
      </c>
      <c r="V29" s="14" t="n">
        <f aca="false">'2025'!E29</f>
        <v>0</v>
      </c>
      <c r="W29" s="14" t="n">
        <f aca="false">'2025'!F29</f>
        <v>1</v>
      </c>
      <c r="X29" s="14" t="n">
        <f aca="false">'2025'!G29</f>
        <v>0</v>
      </c>
      <c r="Y29" s="14" t="n">
        <f aca="false">'2025'!H29</f>
        <v>4</v>
      </c>
      <c r="Z29" s="14" t="n">
        <f aca="false">'2025'!I29</f>
        <v>6</v>
      </c>
      <c r="AA29" s="14" t="n">
        <f aca="false">'2025'!J29</f>
        <v>1</v>
      </c>
      <c r="AB29" s="14" t="n">
        <f aca="false">'2025'!K29</f>
        <v>3</v>
      </c>
      <c r="AC29" s="13" t="n">
        <f aca="false">'2025'!L29</f>
        <v>15</v>
      </c>
    </row>
    <row r="30" customFormat="false" ht="14.25" hidden="false" customHeight="false" outlineLevel="0" collapsed="false">
      <c r="A30" s="11" t="n">
        <v>25</v>
      </c>
      <c r="B30" s="12" t="s">
        <v>40</v>
      </c>
      <c r="C30" s="11" t="n">
        <f aca="false">'2023'!D30</f>
        <v>0</v>
      </c>
      <c r="D30" s="11" t="n">
        <f aca="false">'2023'!E30</f>
        <v>0</v>
      </c>
      <c r="E30" s="11" t="n">
        <f aca="false">'2023'!F30</f>
        <v>0</v>
      </c>
      <c r="F30" s="11" t="n">
        <f aca="false">'2023'!G30</f>
        <v>0</v>
      </c>
      <c r="G30" s="11" t="n">
        <f aca="false">'2023'!H30</f>
        <v>0</v>
      </c>
      <c r="H30" s="11" t="n">
        <f aca="false">'2023'!I30</f>
        <v>0</v>
      </c>
      <c r="I30" s="11" t="n">
        <f aca="false">'2023'!J30</f>
        <v>0</v>
      </c>
      <c r="J30" s="11" t="n">
        <f aca="false">'2023'!K30</f>
        <v>0</v>
      </c>
      <c r="K30" s="13" t="n">
        <f aca="false">'2023'!L30</f>
        <v>0</v>
      </c>
      <c r="L30" s="11" t="n">
        <f aca="false">'2024'!D30</f>
        <v>0</v>
      </c>
      <c r="M30" s="11" t="n">
        <f aca="false">'2024'!E30</f>
        <v>0</v>
      </c>
      <c r="N30" s="11" t="n">
        <f aca="false">'2024'!F30</f>
        <v>1</v>
      </c>
      <c r="O30" s="11" t="n">
        <f aca="false">'2024'!G30</f>
        <v>2</v>
      </c>
      <c r="P30" s="11" t="n">
        <f aca="false">'2024'!H30</f>
        <v>3</v>
      </c>
      <c r="Q30" s="11" t="n">
        <f aca="false">'2024'!I30</f>
        <v>3</v>
      </c>
      <c r="R30" s="11" t="n">
        <f aca="false">'2024'!J30</f>
        <v>4</v>
      </c>
      <c r="S30" s="11" t="n">
        <f aca="false">'2024'!K30</f>
        <v>1</v>
      </c>
      <c r="T30" s="13" t="n">
        <f aca="false">'2024'!L30</f>
        <v>14</v>
      </c>
      <c r="U30" s="11" t="n">
        <f aca="false">'2025'!D30</f>
        <v>0</v>
      </c>
      <c r="V30" s="11" t="n">
        <f aca="false">'2025'!E30</f>
        <v>0</v>
      </c>
      <c r="W30" s="11" t="n">
        <f aca="false">'2025'!F30</f>
        <v>3</v>
      </c>
      <c r="X30" s="11" t="n">
        <f aca="false">'2025'!G30</f>
        <v>2</v>
      </c>
      <c r="Y30" s="11" t="n">
        <f aca="false">'2025'!H30</f>
        <v>1</v>
      </c>
      <c r="Z30" s="11" t="n">
        <f aca="false">'2025'!I30</f>
        <v>4</v>
      </c>
      <c r="AA30" s="11" t="n">
        <f aca="false">'2025'!J30</f>
        <v>2</v>
      </c>
      <c r="AB30" s="11" t="n">
        <f aca="false">'2025'!K30</f>
        <v>0</v>
      </c>
      <c r="AC30" s="13" t="n">
        <f aca="false">'2025'!L30</f>
        <v>12</v>
      </c>
    </row>
    <row r="31" customFormat="false" ht="14.25" hidden="false" customHeight="false" outlineLevel="0" collapsed="false">
      <c r="A31" s="16" t="s">
        <v>41</v>
      </c>
      <c r="B31" s="16"/>
      <c r="C31" s="17" t="n">
        <f aca="false">SUM(C6:C30)</f>
        <v>0</v>
      </c>
      <c r="D31" s="17" t="n">
        <f aca="false">SUM(D6:D30)</f>
        <v>8</v>
      </c>
      <c r="E31" s="17" t="n">
        <f aca="false">SUM(E6:E30)</f>
        <v>19</v>
      </c>
      <c r="F31" s="17" t="n">
        <f aca="false">SUM(F6:F30)</f>
        <v>15</v>
      </c>
      <c r="G31" s="17" t="n">
        <f aca="false">SUM(G6:G30)</f>
        <v>18</v>
      </c>
      <c r="H31" s="17" t="n">
        <f aca="false">SUM(H6:H30)</f>
        <v>50</v>
      </c>
      <c r="I31" s="17" t="n">
        <f aca="false">SUM(I6:I30)</f>
        <v>19</v>
      </c>
      <c r="J31" s="17" t="n">
        <f aca="false">SUM(J6:J30)</f>
        <v>10</v>
      </c>
      <c r="K31" s="17" t="n">
        <f aca="false">SUM(K6:K30)</f>
        <v>139</v>
      </c>
      <c r="L31" s="18" t="n">
        <f aca="false">SUM(L6:L30)</f>
        <v>4</v>
      </c>
      <c r="M31" s="18" t="n">
        <f aca="false">SUM(M6:M30)</f>
        <v>8</v>
      </c>
      <c r="N31" s="18" t="n">
        <f aca="false">SUM(N6:N30)</f>
        <v>36</v>
      </c>
      <c r="O31" s="18" t="n">
        <f aca="false">SUM(O6:O30)</f>
        <v>49</v>
      </c>
      <c r="P31" s="18" t="n">
        <f aca="false">SUM(P6:P30)</f>
        <v>54</v>
      </c>
      <c r="Q31" s="18" t="n">
        <f aca="false">SUM(Q6:Q30)</f>
        <v>120</v>
      </c>
      <c r="R31" s="18" t="n">
        <f aca="false">SUM(R6:R30)</f>
        <v>28</v>
      </c>
      <c r="S31" s="18" t="n">
        <f aca="false">SUM(S6:S30)</f>
        <v>4</v>
      </c>
      <c r="T31" s="18" t="n">
        <f aca="false">SUM(T6:T30)</f>
        <v>303</v>
      </c>
      <c r="U31" s="19" t="n">
        <f aca="false">SUM(U6:U30)</f>
        <v>0</v>
      </c>
      <c r="V31" s="19" t="n">
        <f aca="false">SUM(V6:V30)</f>
        <v>14</v>
      </c>
      <c r="W31" s="19" t="n">
        <f aca="false">SUM(W6:W30)</f>
        <v>37</v>
      </c>
      <c r="X31" s="19" t="n">
        <f aca="false">SUM(X6:X30)</f>
        <v>42</v>
      </c>
      <c r="Y31" s="19" t="n">
        <f aca="false">SUM(Y6:Y30)</f>
        <v>68</v>
      </c>
      <c r="Z31" s="19" t="n">
        <f aca="false">SUM(Z6:Z30)</f>
        <v>174</v>
      </c>
      <c r="AA31" s="19" t="n">
        <f aca="false">SUM(AA6:AA30)</f>
        <v>49</v>
      </c>
      <c r="AB31" s="19" t="n">
        <f aca="false">SUM(AB6:AB30)</f>
        <v>36</v>
      </c>
      <c r="AC31" s="19" t="n">
        <f aca="false">SUM(AC6:AC30)</f>
        <v>420</v>
      </c>
    </row>
  </sheetData>
  <mergeCells count="8">
    <mergeCell ref="A1:Q1"/>
    <mergeCell ref="A2:Q2"/>
    <mergeCell ref="A4:A5"/>
    <mergeCell ref="B4:B5"/>
    <mergeCell ref="C4:K4"/>
    <mergeCell ref="L4:T4"/>
    <mergeCell ref="U4:AC4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11" min="4" style="0" width="7"/>
    <col collapsed="false" customWidth="true" hidden="false" outlineLevel="0" max="12" min="12" style="0" width="9"/>
    <col collapsed="false" customWidth="true" hidden="false" outlineLevel="0" max="14" min="13" style="0" width="12"/>
  </cols>
  <sheetData>
    <row r="1" customFormat="false" ht="39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1.75" hidden="false" customHeight="true" outlineLevel="0" collapsed="false">
      <c r="A4" s="20" t="s">
        <v>2</v>
      </c>
      <c r="B4" s="20" t="s">
        <v>43</v>
      </c>
      <c r="C4" s="20" t="s">
        <v>3</v>
      </c>
      <c r="D4" s="21" t="s">
        <v>44</v>
      </c>
      <c r="E4" s="21"/>
      <c r="F4" s="21"/>
      <c r="G4" s="21"/>
      <c r="H4" s="21"/>
      <c r="I4" s="21"/>
      <c r="J4" s="21"/>
      <c r="K4" s="21"/>
      <c r="L4" s="22" t="s">
        <v>45</v>
      </c>
      <c r="M4" s="23" t="s">
        <v>46</v>
      </c>
      <c r="N4" s="24" t="s">
        <v>47</v>
      </c>
      <c r="O4" s="25" t="s">
        <v>48</v>
      </c>
      <c r="P4" s="25" t="s">
        <v>49</v>
      </c>
    </row>
    <row r="5" customFormat="false" ht="18" hidden="false" customHeight="true" outlineLevel="0" collapsed="false">
      <c r="A5" s="20"/>
      <c r="B5" s="20"/>
      <c r="C5" s="20"/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22"/>
      <c r="M5" s="23"/>
      <c r="N5" s="23"/>
      <c r="O5" s="26"/>
      <c r="P5" s="26"/>
    </row>
    <row r="6" customFormat="false" ht="14.25" hidden="false" customHeight="false" outlineLevel="0" collapsed="false">
      <c r="A6" s="11" t="n">
        <v>1</v>
      </c>
      <c r="B6" s="12" t="s">
        <v>50</v>
      </c>
      <c r="C6" s="12" t="s">
        <v>16</v>
      </c>
      <c r="D6" s="11"/>
      <c r="E6" s="11" t="n">
        <v>1</v>
      </c>
      <c r="F6" s="11"/>
      <c r="G6" s="11"/>
      <c r="H6" s="11"/>
      <c r="I6" s="11" t="n">
        <v>5</v>
      </c>
      <c r="J6" s="11"/>
      <c r="K6" s="11" t="n">
        <v>1</v>
      </c>
      <c r="L6" s="13" t="n">
        <f aca="false">SUM(D6:K6)</f>
        <v>7</v>
      </c>
      <c r="M6" s="27" t="n">
        <v>4</v>
      </c>
      <c r="N6" s="27" t="n">
        <v>3</v>
      </c>
      <c r="O6" s="11"/>
      <c r="P6" s="28" t="n">
        <f aca="false">IFERROR(M6/L6*100,0)</f>
        <v>57.1428571428571</v>
      </c>
    </row>
    <row r="7" customFormat="false" ht="14.25" hidden="false" customHeight="false" outlineLevel="0" collapsed="false">
      <c r="A7" s="14" t="n">
        <v>2</v>
      </c>
      <c r="B7" s="15" t="s">
        <v>50</v>
      </c>
      <c r="C7" s="15" t="s">
        <v>17</v>
      </c>
      <c r="D7" s="14"/>
      <c r="E7" s="14"/>
      <c r="F7" s="14" t="n">
        <v>1</v>
      </c>
      <c r="G7" s="14" t="n">
        <v>1</v>
      </c>
      <c r="H7" s="14" t="n">
        <v>1</v>
      </c>
      <c r="I7" s="14" t="n">
        <v>3</v>
      </c>
      <c r="J7" s="14" t="n">
        <v>2</v>
      </c>
      <c r="K7" s="14"/>
      <c r="L7" s="13" t="n">
        <f aca="false">SUM(D7:K7)</f>
        <v>8</v>
      </c>
      <c r="M7" s="27" t="n">
        <v>3</v>
      </c>
      <c r="N7" s="27" t="n">
        <v>6</v>
      </c>
      <c r="O7" s="14"/>
      <c r="P7" s="29" t="n">
        <f aca="false">IFERROR(M7/L7*100,0)</f>
        <v>37.5</v>
      </c>
    </row>
    <row r="8" customFormat="false" ht="14.25" hidden="false" customHeight="false" outlineLevel="0" collapsed="false">
      <c r="A8" s="11" t="n">
        <v>3</v>
      </c>
      <c r="B8" s="12" t="s">
        <v>51</v>
      </c>
      <c r="C8" s="12" t="s">
        <v>18</v>
      </c>
      <c r="D8" s="11"/>
      <c r="E8" s="11"/>
      <c r="F8" s="11" t="n">
        <v>1</v>
      </c>
      <c r="G8" s="11"/>
      <c r="H8" s="11"/>
      <c r="I8" s="11"/>
      <c r="J8" s="11"/>
      <c r="K8" s="11" t="n">
        <v>1</v>
      </c>
      <c r="L8" s="13" t="n">
        <f aca="false">SUM(D8:K8)</f>
        <v>2</v>
      </c>
      <c r="M8" s="27" t="n">
        <v>1</v>
      </c>
      <c r="N8" s="27" t="n">
        <v>1</v>
      </c>
      <c r="O8" s="11"/>
      <c r="P8" s="28" t="n">
        <f aca="false">IFERROR(M8/L8*100,0)</f>
        <v>50</v>
      </c>
    </row>
    <row r="9" customFormat="false" ht="14.25" hidden="false" customHeight="false" outlineLevel="0" collapsed="false">
      <c r="A9" s="14" t="n">
        <v>4</v>
      </c>
      <c r="B9" s="15" t="s">
        <v>51</v>
      </c>
      <c r="C9" s="15" t="s">
        <v>19</v>
      </c>
      <c r="D9" s="14"/>
      <c r="E9" s="14"/>
      <c r="F9" s="14"/>
      <c r="G9" s="14"/>
      <c r="H9" s="14"/>
      <c r="I9" s="14" t="n">
        <v>3</v>
      </c>
      <c r="J9" s="14"/>
      <c r="K9" s="14"/>
      <c r="L9" s="13" t="n">
        <f aca="false">SUM(D9:K9)</f>
        <v>3</v>
      </c>
      <c r="M9" s="27" t="n">
        <v>3</v>
      </c>
      <c r="N9" s="27"/>
      <c r="O9" s="14"/>
      <c r="P9" s="29" t="n">
        <f aca="false">IFERROR(M9/L9*100,0)</f>
        <v>100</v>
      </c>
    </row>
    <row r="10" customFormat="false" ht="14.25" hidden="false" customHeight="false" outlineLevel="0" collapsed="false">
      <c r="A10" s="11" t="n">
        <v>5</v>
      </c>
      <c r="B10" s="12" t="s">
        <v>20</v>
      </c>
      <c r="C10" s="12" t="s">
        <v>20</v>
      </c>
      <c r="D10" s="11"/>
      <c r="E10" s="11"/>
      <c r="F10" s="11" t="n">
        <v>1</v>
      </c>
      <c r="G10" s="11" t="n">
        <v>1</v>
      </c>
      <c r="H10" s="11"/>
      <c r="I10" s="11" t="n">
        <v>7</v>
      </c>
      <c r="J10" s="11" t="n">
        <v>2</v>
      </c>
      <c r="K10" s="11" t="n">
        <v>2</v>
      </c>
      <c r="L10" s="13" t="n">
        <f aca="false">SUM(D10:K10)</f>
        <v>13</v>
      </c>
      <c r="M10" s="27" t="n">
        <v>9</v>
      </c>
      <c r="N10" s="27" t="n">
        <v>5</v>
      </c>
      <c r="O10" s="11"/>
      <c r="P10" s="28" t="n">
        <f aca="false">IFERROR(M10/L10*100,0)</f>
        <v>69.2307692307692</v>
      </c>
    </row>
    <row r="11" customFormat="false" ht="14.25" hidden="false" customHeight="false" outlineLevel="0" collapsed="false">
      <c r="A11" s="14" t="n">
        <v>6</v>
      </c>
      <c r="B11" s="15" t="s">
        <v>21</v>
      </c>
      <c r="C11" s="15" t="s">
        <v>21</v>
      </c>
      <c r="D11" s="14"/>
      <c r="E11" s="14"/>
      <c r="F11" s="14" t="n">
        <v>1</v>
      </c>
      <c r="G11" s="14" t="n">
        <v>1</v>
      </c>
      <c r="H11" s="14"/>
      <c r="I11" s="14" t="n">
        <v>3</v>
      </c>
      <c r="J11" s="14" t="n">
        <v>1</v>
      </c>
      <c r="K11" s="14" t="n">
        <v>1</v>
      </c>
      <c r="L11" s="13" t="n">
        <f aca="false">SUM(D11:K11)</f>
        <v>7</v>
      </c>
      <c r="M11" s="27" t="n">
        <v>5</v>
      </c>
      <c r="N11" s="27" t="n">
        <v>3</v>
      </c>
      <c r="O11" s="14"/>
      <c r="P11" s="29" t="n">
        <f aca="false">IFERROR(M11/L11*100,0)</f>
        <v>71.4285714285714</v>
      </c>
    </row>
    <row r="12" customFormat="false" ht="14.25" hidden="false" customHeight="false" outlineLevel="0" collapsed="false">
      <c r="A12" s="11" t="n">
        <v>7</v>
      </c>
      <c r="B12" s="12" t="s">
        <v>22</v>
      </c>
      <c r="C12" s="12" t="s">
        <v>22</v>
      </c>
      <c r="D12" s="11"/>
      <c r="E12" s="11"/>
      <c r="F12" s="11"/>
      <c r="G12" s="11" t="n">
        <v>1</v>
      </c>
      <c r="H12" s="11" t="n">
        <v>1</v>
      </c>
      <c r="I12" s="11" t="n">
        <v>4</v>
      </c>
      <c r="J12" s="11" t="n">
        <v>1</v>
      </c>
      <c r="K12" s="11"/>
      <c r="L12" s="13" t="n">
        <f aca="false">SUM(D12:K12)</f>
        <v>7</v>
      </c>
      <c r="M12" s="27" t="n">
        <v>3</v>
      </c>
      <c r="N12" s="27" t="n">
        <v>4</v>
      </c>
      <c r="O12" s="11"/>
      <c r="P12" s="28" t="n">
        <f aca="false">IFERROR(M12/L12*100,0)</f>
        <v>42.8571428571429</v>
      </c>
    </row>
    <row r="13" customFormat="false" ht="14.25" hidden="false" customHeight="false" outlineLevel="0" collapsed="false">
      <c r="A13" s="14" t="n">
        <v>8</v>
      </c>
      <c r="B13" s="15" t="s">
        <v>52</v>
      </c>
      <c r="C13" s="15" t="s">
        <v>23</v>
      </c>
      <c r="D13" s="14"/>
      <c r="E13" s="14" t="n">
        <v>3</v>
      </c>
      <c r="F13" s="14"/>
      <c r="G13" s="14" t="n">
        <v>3</v>
      </c>
      <c r="H13" s="14" t="n">
        <v>1</v>
      </c>
      <c r="I13" s="14" t="n">
        <v>5</v>
      </c>
      <c r="J13" s="14" t="n">
        <v>1</v>
      </c>
      <c r="K13" s="14"/>
      <c r="L13" s="13" t="n">
        <f aca="false">SUM(D13:K13)</f>
        <v>13</v>
      </c>
      <c r="M13" s="27" t="n">
        <v>8</v>
      </c>
      <c r="N13" s="27" t="n">
        <v>5</v>
      </c>
      <c r="O13" s="14"/>
      <c r="P13" s="29" t="n">
        <f aca="false">IFERROR(M13/L13*100,0)</f>
        <v>61.5384615384615</v>
      </c>
    </row>
    <row r="14" customFormat="false" ht="14.25" hidden="false" customHeight="false" outlineLevel="0" collapsed="false">
      <c r="A14" s="11" t="n">
        <v>9</v>
      </c>
      <c r="B14" s="12" t="s">
        <v>52</v>
      </c>
      <c r="C14" s="12" t="s">
        <v>24</v>
      </c>
      <c r="D14" s="11"/>
      <c r="E14" s="11" t="n">
        <v>1</v>
      </c>
      <c r="F14" s="11"/>
      <c r="G14" s="11"/>
      <c r="H14" s="11" t="n">
        <v>1</v>
      </c>
      <c r="I14" s="11" t="n">
        <v>2</v>
      </c>
      <c r="J14" s="11"/>
      <c r="K14" s="11"/>
      <c r="L14" s="13" t="n">
        <f aca="false">SUM(D14:K14)</f>
        <v>4</v>
      </c>
      <c r="M14" s="27" t="n">
        <v>3</v>
      </c>
      <c r="N14" s="27" t="n">
        <v>1</v>
      </c>
      <c r="O14" s="11"/>
      <c r="P14" s="28" t="n">
        <f aca="false">IFERROR(M14/L14*100,0)</f>
        <v>75</v>
      </c>
    </row>
    <row r="15" customFormat="false" ht="14.25" hidden="false" customHeight="false" outlineLevel="0" collapsed="false">
      <c r="A15" s="14" t="n">
        <v>10</v>
      </c>
      <c r="B15" s="15" t="s">
        <v>53</v>
      </c>
      <c r="C15" s="15" t="s">
        <v>25</v>
      </c>
      <c r="D15" s="14"/>
      <c r="E15" s="14"/>
      <c r="F15" s="14"/>
      <c r="G15" s="14" t="n">
        <v>1</v>
      </c>
      <c r="H15" s="14" t="n">
        <v>1</v>
      </c>
      <c r="I15" s="14"/>
      <c r="J15" s="14"/>
      <c r="K15" s="14"/>
      <c r="L15" s="13" t="n">
        <f aca="false">SUM(D15:K15)</f>
        <v>2</v>
      </c>
      <c r="M15" s="27" t="n">
        <v>1</v>
      </c>
      <c r="N15" s="27" t="n">
        <v>1</v>
      </c>
      <c r="O15" s="14"/>
      <c r="P15" s="29" t="n">
        <f aca="false">IFERROR(M15/L15*100,0)</f>
        <v>50</v>
      </c>
    </row>
    <row r="16" customFormat="false" ht="14.25" hidden="false" customHeight="false" outlineLevel="0" collapsed="false">
      <c r="A16" s="11" t="n">
        <v>11</v>
      </c>
      <c r="B16" s="12" t="s">
        <v>53</v>
      </c>
      <c r="C16" s="12" t="s">
        <v>26</v>
      </c>
      <c r="D16" s="11"/>
      <c r="E16" s="11"/>
      <c r="F16" s="11"/>
      <c r="G16" s="11" t="n">
        <v>1</v>
      </c>
      <c r="H16" s="11" t="n">
        <v>1</v>
      </c>
      <c r="I16" s="11" t="n">
        <v>6</v>
      </c>
      <c r="J16" s="11"/>
      <c r="K16" s="11" t="n">
        <v>2</v>
      </c>
      <c r="L16" s="13" t="n">
        <f aca="false">SUM(D16:K16)</f>
        <v>10</v>
      </c>
      <c r="M16" s="27" t="n">
        <v>9</v>
      </c>
      <c r="N16" s="27" t="n">
        <v>1</v>
      </c>
      <c r="O16" s="11"/>
      <c r="P16" s="28" t="n">
        <f aca="false">IFERROR(M16/L16*100,0)</f>
        <v>90</v>
      </c>
    </row>
    <row r="17" customFormat="false" ht="14.25" hidden="false" customHeight="false" outlineLevel="0" collapsed="false">
      <c r="A17" s="14" t="n">
        <v>12</v>
      </c>
      <c r="B17" s="15" t="s">
        <v>53</v>
      </c>
      <c r="C17" s="15" t="s">
        <v>27</v>
      </c>
      <c r="D17" s="14"/>
      <c r="E17" s="14"/>
      <c r="F17" s="14"/>
      <c r="G17" s="14"/>
      <c r="H17" s="14" t="n">
        <v>1</v>
      </c>
      <c r="I17" s="14" t="n">
        <v>2</v>
      </c>
      <c r="J17" s="14"/>
      <c r="K17" s="14"/>
      <c r="L17" s="13" t="n">
        <f aca="false">SUM(D17:K17)</f>
        <v>3</v>
      </c>
      <c r="M17" s="27" t="n">
        <v>1</v>
      </c>
      <c r="N17" s="27" t="n">
        <v>2</v>
      </c>
      <c r="O17" s="14"/>
      <c r="P17" s="29" t="n">
        <f aca="false">IFERROR(M17/L17*100,0)</f>
        <v>33.3333333333333</v>
      </c>
    </row>
    <row r="18" customFormat="false" ht="14.25" hidden="false" customHeight="false" outlineLevel="0" collapsed="false">
      <c r="A18" s="11" t="n">
        <v>13</v>
      </c>
      <c r="B18" s="12" t="s">
        <v>28</v>
      </c>
      <c r="C18" s="12" t="s">
        <v>28</v>
      </c>
      <c r="D18" s="11"/>
      <c r="E18" s="11"/>
      <c r="F18" s="11" t="n">
        <v>1</v>
      </c>
      <c r="G18" s="11" t="n">
        <v>1</v>
      </c>
      <c r="H18" s="11"/>
      <c r="I18" s="11"/>
      <c r="J18" s="11" t="n">
        <v>2</v>
      </c>
      <c r="K18" s="11" t="n">
        <v>1</v>
      </c>
      <c r="L18" s="13" t="n">
        <f aca="false">SUM(D18:K18)</f>
        <v>5</v>
      </c>
      <c r="M18" s="27" t="n">
        <v>5</v>
      </c>
      <c r="N18" s="27"/>
      <c r="O18" s="11"/>
      <c r="P18" s="28" t="n">
        <f aca="false">IFERROR(M18/L18*100,0)</f>
        <v>100</v>
      </c>
    </row>
    <row r="19" customFormat="false" ht="14.25" hidden="false" customHeight="false" outlineLevel="0" collapsed="false">
      <c r="A19" s="14" t="n">
        <v>14</v>
      </c>
      <c r="B19" s="15" t="s">
        <v>29</v>
      </c>
      <c r="C19" s="15" t="s">
        <v>29</v>
      </c>
      <c r="D19" s="14"/>
      <c r="E19" s="14" t="n">
        <v>1</v>
      </c>
      <c r="F19" s="14" t="n">
        <v>1</v>
      </c>
      <c r="G19" s="14" t="n">
        <v>2</v>
      </c>
      <c r="H19" s="14" t="n">
        <v>2</v>
      </c>
      <c r="I19" s="14" t="n">
        <v>2</v>
      </c>
      <c r="J19" s="14"/>
      <c r="K19" s="14"/>
      <c r="L19" s="13" t="n">
        <f aca="false">SUM(D19:K19)</f>
        <v>8</v>
      </c>
      <c r="M19" s="27" t="n">
        <v>3</v>
      </c>
      <c r="N19" s="27" t="n">
        <v>5</v>
      </c>
      <c r="O19" s="14"/>
      <c r="P19" s="29" t="n">
        <f aca="false">IFERROR(M19/L19*100,0)</f>
        <v>37.5</v>
      </c>
    </row>
    <row r="20" customFormat="false" ht="14.25" hidden="false" customHeight="false" outlineLevel="0" collapsed="false">
      <c r="A20" s="11" t="n">
        <v>15</v>
      </c>
      <c r="B20" s="12" t="s">
        <v>30</v>
      </c>
      <c r="C20" s="12" t="s">
        <v>30</v>
      </c>
      <c r="D20" s="11"/>
      <c r="E20" s="11"/>
      <c r="F20" s="11" t="n">
        <v>4</v>
      </c>
      <c r="G20" s="11"/>
      <c r="H20" s="11"/>
      <c r="I20" s="11" t="n">
        <v>1</v>
      </c>
      <c r="J20" s="11" t="n">
        <v>2</v>
      </c>
      <c r="K20" s="11"/>
      <c r="L20" s="13" t="n">
        <f aca="false">SUM(D20:K20)</f>
        <v>7</v>
      </c>
      <c r="M20" s="27" t="n">
        <v>3</v>
      </c>
      <c r="N20" s="27" t="n">
        <v>5</v>
      </c>
      <c r="O20" s="11"/>
      <c r="P20" s="28" t="n">
        <f aca="false">IFERROR(M20/L20*100,0)</f>
        <v>42.8571428571429</v>
      </c>
    </row>
    <row r="21" customFormat="false" ht="14.25" hidden="false" customHeight="false" outlineLevel="0" collapsed="false">
      <c r="A21" s="14" t="n">
        <v>16</v>
      </c>
      <c r="B21" s="15" t="s">
        <v>54</v>
      </c>
      <c r="C21" s="15" t="s">
        <v>31</v>
      </c>
      <c r="D21" s="14"/>
      <c r="E21" s="14"/>
      <c r="F21" s="14" t="n">
        <v>1</v>
      </c>
      <c r="G21" s="14"/>
      <c r="H21" s="14"/>
      <c r="I21" s="14" t="n">
        <v>2</v>
      </c>
      <c r="J21" s="14"/>
      <c r="K21" s="14"/>
      <c r="L21" s="13" t="n">
        <f aca="false">SUM(D21:K21)</f>
        <v>3</v>
      </c>
      <c r="M21" s="27" t="n">
        <v>2</v>
      </c>
      <c r="N21" s="27" t="n">
        <v>1</v>
      </c>
      <c r="O21" s="14"/>
      <c r="P21" s="29" t="n">
        <f aca="false">IFERROR(M21/L21*100,0)</f>
        <v>66.6666666666667</v>
      </c>
    </row>
    <row r="22" customFormat="false" ht="14.25" hidden="false" customHeight="false" outlineLevel="0" collapsed="false">
      <c r="A22" s="11" t="n">
        <v>17</v>
      </c>
      <c r="B22" s="12" t="s">
        <v>54</v>
      </c>
      <c r="C22" s="12" t="s">
        <v>32</v>
      </c>
      <c r="D22" s="11"/>
      <c r="E22" s="11"/>
      <c r="F22" s="11" t="n">
        <v>1</v>
      </c>
      <c r="G22" s="11" t="n">
        <v>1</v>
      </c>
      <c r="H22" s="11"/>
      <c r="I22" s="11" t="n">
        <v>1</v>
      </c>
      <c r="J22" s="11" t="n">
        <v>1</v>
      </c>
      <c r="K22" s="11"/>
      <c r="L22" s="13" t="n">
        <f aca="false">SUM(D22:K22)</f>
        <v>4</v>
      </c>
      <c r="M22" s="27" t="n">
        <v>1</v>
      </c>
      <c r="N22" s="27" t="n">
        <v>3</v>
      </c>
      <c r="O22" s="11"/>
      <c r="P22" s="28" t="n">
        <f aca="false">IFERROR(M22/L22*100,0)</f>
        <v>25</v>
      </c>
    </row>
    <row r="23" customFormat="false" ht="14.25" hidden="false" customHeight="false" outlineLevel="0" collapsed="false">
      <c r="A23" s="14" t="n">
        <v>18</v>
      </c>
      <c r="B23" s="15" t="s">
        <v>55</v>
      </c>
      <c r="C23" s="15" t="s">
        <v>33</v>
      </c>
      <c r="D23" s="14"/>
      <c r="E23" s="14" t="n">
        <v>1</v>
      </c>
      <c r="F23" s="14"/>
      <c r="G23" s="14"/>
      <c r="H23" s="14"/>
      <c r="I23" s="14" t="n">
        <v>1</v>
      </c>
      <c r="J23" s="14" t="n">
        <v>3</v>
      </c>
      <c r="K23" s="14"/>
      <c r="L23" s="13" t="n">
        <f aca="false">SUM(D23:K23)</f>
        <v>5</v>
      </c>
      <c r="M23" s="27" t="n">
        <v>5</v>
      </c>
      <c r="N23" s="27" t="n">
        <v>1</v>
      </c>
      <c r="O23" s="14"/>
      <c r="P23" s="29" t="n">
        <f aca="false">IFERROR(M23/L23*100,0)</f>
        <v>100</v>
      </c>
    </row>
    <row r="24" customFormat="false" ht="14.25" hidden="false" customHeight="false" outlineLevel="0" collapsed="false">
      <c r="A24" s="11" t="n">
        <v>19</v>
      </c>
      <c r="B24" s="12" t="s">
        <v>55</v>
      </c>
      <c r="C24" s="12" t="s">
        <v>34</v>
      </c>
      <c r="D24" s="11"/>
      <c r="E24" s="11"/>
      <c r="F24" s="11"/>
      <c r="G24" s="11"/>
      <c r="H24" s="11"/>
      <c r="I24" s="11"/>
      <c r="J24" s="11" t="n">
        <v>2</v>
      </c>
      <c r="K24" s="11"/>
      <c r="L24" s="13" t="n">
        <f aca="false">SUM(D24:K24)</f>
        <v>2</v>
      </c>
      <c r="M24" s="27" t="n">
        <v>1</v>
      </c>
      <c r="N24" s="27" t="n">
        <v>1</v>
      </c>
      <c r="O24" s="11"/>
      <c r="P24" s="28" t="n">
        <f aca="false">IFERROR(M24/L24*100,0)</f>
        <v>50</v>
      </c>
    </row>
    <row r="25" customFormat="false" ht="14.25" hidden="false" customHeight="false" outlineLevel="0" collapsed="false">
      <c r="A25" s="14" t="n">
        <v>20</v>
      </c>
      <c r="B25" s="15" t="s">
        <v>35</v>
      </c>
      <c r="C25" s="15" t="s">
        <v>35</v>
      </c>
      <c r="D25" s="14"/>
      <c r="E25" s="14"/>
      <c r="F25" s="14"/>
      <c r="G25" s="14"/>
      <c r="H25" s="14" t="n">
        <v>2</v>
      </c>
      <c r="I25" s="14" t="n">
        <v>1</v>
      </c>
      <c r="J25" s="14" t="n">
        <v>1</v>
      </c>
      <c r="K25" s="14"/>
      <c r="L25" s="13" t="n">
        <f aca="false">SUM(D25:K25)</f>
        <v>4</v>
      </c>
      <c r="M25" s="27" t="n">
        <v>2</v>
      </c>
      <c r="N25" s="27" t="n">
        <v>3</v>
      </c>
      <c r="O25" s="14"/>
      <c r="P25" s="29" t="n">
        <f aca="false">IFERROR(M25/L25*100,0)</f>
        <v>50</v>
      </c>
    </row>
    <row r="26" customFormat="false" ht="14.25" hidden="false" customHeight="false" outlineLevel="0" collapsed="false">
      <c r="A26" s="11" t="n">
        <v>21</v>
      </c>
      <c r="B26" s="12" t="s">
        <v>56</v>
      </c>
      <c r="C26" s="12" t="s">
        <v>36</v>
      </c>
      <c r="D26" s="11"/>
      <c r="E26" s="11"/>
      <c r="F26" s="11" t="n">
        <v>2</v>
      </c>
      <c r="G26" s="11" t="n">
        <v>1</v>
      </c>
      <c r="H26" s="11" t="n">
        <v>4</v>
      </c>
      <c r="I26" s="11"/>
      <c r="J26" s="11"/>
      <c r="K26" s="11"/>
      <c r="L26" s="13" t="n">
        <f aca="false">SUM(D26:K26)</f>
        <v>7</v>
      </c>
      <c r="M26" s="27" t="n">
        <v>6</v>
      </c>
      <c r="N26" s="27" t="n">
        <v>1</v>
      </c>
      <c r="O26" s="11"/>
      <c r="P26" s="28" t="n">
        <f aca="false">IFERROR(M26/L26*100,0)</f>
        <v>85.7142857142857</v>
      </c>
    </row>
    <row r="27" customFormat="false" ht="14.25" hidden="false" customHeight="false" outlineLevel="0" collapsed="false">
      <c r="A27" s="14" t="n">
        <v>22</v>
      </c>
      <c r="B27" s="15" t="s">
        <v>56</v>
      </c>
      <c r="C27" s="15" t="s">
        <v>37</v>
      </c>
      <c r="D27" s="14"/>
      <c r="E27" s="14" t="n">
        <v>1</v>
      </c>
      <c r="F27" s="14" t="n">
        <v>1</v>
      </c>
      <c r="G27" s="14" t="n">
        <v>1</v>
      </c>
      <c r="H27" s="14" t="n">
        <v>2</v>
      </c>
      <c r="I27" s="14" t="n">
        <v>1</v>
      </c>
      <c r="J27" s="14"/>
      <c r="K27" s="14" t="n">
        <v>1</v>
      </c>
      <c r="L27" s="13" t="n">
        <f aca="false">SUM(D27:K27)</f>
        <v>7</v>
      </c>
      <c r="M27" s="27" t="n">
        <v>3</v>
      </c>
      <c r="N27" s="27" t="n">
        <v>4</v>
      </c>
      <c r="O27" s="14"/>
      <c r="P27" s="29" t="n">
        <f aca="false">IFERROR(M27/L27*100,0)</f>
        <v>42.8571428571429</v>
      </c>
    </row>
    <row r="28" customFormat="false" ht="14.25" hidden="false" customHeight="false" outlineLevel="0" collapsed="false">
      <c r="A28" s="11" t="n">
        <v>23</v>
      </c>
      <c r="B28" s="12" t="s">
        <v>38</v>
      </c>
      <c r="C28" s="12" t="s">
        <v>38</v>
      </c>
      <c r="D28" s="11"/>
      <c r="E28" s="11"/>
      <c r="F28" s="11" t="n">
        <v>3</v>
      </c>
      <c r="G28" s="11"/>
      <c r="H28" s="11"/>
      <c r="I28" s="11"/>
      <c r="J28" s="11"/>
      <c r="K28" s="11"/>
      <c r="L28" s="13" t="n">
        <f aca="false">SUM(D28:K28)</f>
        <v>3</v>
      </c>
      <c r="M28" s="27" t="n">
        <v>1</v>
      </c>
      <c r="N28" s="27" t="n">
        <v>3</v>
      </c>
      <c r="O28" s="11"/>
      <c r="P28" s="28" t="n">
        <f aca="false">IFERROR(M28/L28*100,0)</f>
        <v>33.3333333333333</v>
      </c>
    </row>
    <row r="29" customFormat="false" ht="14.25" hidden="false" customHeight="false" outlineLevel="0" collapsed="false">
      <c r="A29" s="14" t="n">
        <v>24</v>
      </c>
      <c r="B29" s="15" t="s">
        <v>39</v>
      </c>
      <c r="C29" s="15" t="s">
        <v>39</v>
      </c>
      <c r="D29" s="14"/>
      <c r="E29" s="14"/>
      <c r="F29" s="14" t="n">
        <v>1</v>
      </c>
      <c r="G29" s="14"/>
      <c r="H29" s="14" t="n">
        <v>1</v>
      </c>
      <c r="I29" s="14" t="n">
        <v>1</v>
      </c>
      <c r="J29" s="14" t="n">
        <v>1</v>
      </c>
      <c r="K29" s="14" t="n">
        <v>1</v>
      </c>
      <c r="L29" s="13" t="n">
        <f aca="false">SUM(D29:K29)</f>
        <v>5</v>
      </c>
      <c r="M29" s="27" t="n">
        <v>1</v>
      </c>
      <c r="N29" s="27" t="n">
        <v>4</v>
      </c>
      <c r="O29" s="14"/>
      <c r="P29" s="29" t="n">
        <f aca="false">IFERROR(M29/L29*100,0)</f>
        <v>20</v>
      </c>
    </row>
    <row r="30" customFormat="false" ht="14.25" hidden="false" customHeight="false" outlineLevel="0" collapsed="false">
      <c r="A30" s="11" t="n">
        <v>25</v>
      </c>
      <c r="B30" s="12" t="s">
        <v>40</v>
      </c>
      <c r="C30" s="12" t="s">
        <v>40</v>
      </c>
      <c r="D30" s="11"/>
      <c r="E30" s="11"/>
      <c r="F30" s="11"/>
      <c r="G30" s="11"/>
      <c r="H30" s="11"/>
      <c r="I30" s="11"/>
      <c r="J30" s="11"/>
      <c r="K30" s="11"/>
      <c r="L30" s="13" t="n">
        <f aca="false">SUM(D30:K30)</f>
        <v>0</v>
      </c>
      <c r="M30" s="27"/>
      <c r="N30" s="27"/>
      <c r="O30" s="11"/>
      <c r="P30" s="28" t="n">
        <f aca="false">IFERROR(M30/L30*100,0)</f>
        <v>0</v>
      </c>
    </row>
    <row r="31" customFormat="false" ht="21.75" hidden="false" customHeight="true" outlineLevel="0" collapsed="false">
      <c r="A31" s="16" t="s">
        <v>41</v>
      </c>
      <c r="B31" s="16"/>
      <c r="C31" s="16"/>
      <c r="D31" s="30" t="n">
        <f aca="false">SUM(D6:D30)</f>
        <v>0</v>
      </c>
      <c r="E31" s="30" t="n">
        <f aca="false">SUM(E6:E30)</f>
        <v>8</v>
      </c>
      <c r="F31" s="30" t="n">
        <f aca="false">SUM(F6:F30)</f>
        <v>19</v>
      </c>
      <c r="G31" s="30" t="n">
        <f aca="false">SUM(G6:G30)</f>
        <v>15</v>
      </c>
      <c r="H31" s="30" t="n">
        <f aca="false">SUM(H6:H30)</f>
        <v>18</v>
      </c>
      <c r="I31" s="30" t="n">
        <f aca="false">SUM(I6:I30)</f>
        <v>50</v>
      </c>
      <c r="J31" s="30" t="n">
        <f aca="false">SUM(J6:J30)</f>
        <v>19</v>
      </c>
      <c r="K31" s="30" t="n">
        <f aca="false">SUM(K6:K30)</f>
        <v>10</v>
      </c>
      <c r="L31" s="19" t="n">
        <f aca="false">SUM(L6:L30)</f>
        <v>139</v>
      </c>
      <c r="M31" s="31" t="n">
        <v>83</v>
      </c>
      <c r="N31" s="31" t="n">
        <v>63</v>
      </c>
      <c r="O31" s="32" t="n">
        <f aca="false">SUM(M6:M30)</f>
        <v>83</v>
      </c>
      <c r="P31" s="33" t="n">
        <f aca="false">IFERROR(M31/L31*100,0)</f>
        <v>59.7122302158273</v>
      </c>
    </row>
    <row r="33" customFormat="false" ht="14.25" hidden="false" customHeight="false" outlineLevel="0" collapsed="false">
      <c r="A33" s="34" t="s">
        <v>57</v>
      </c>
    </row>
    <row r="34" customFormat="false" ht="14.25" hidden="false" customHeight="false" outlineLevel="0" collapsed="false">
      <c r="A34" s="35" t="s">
        <v>58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customFormat="false" ht="14.25" hidden="false" customHeight="false" outlineLevel="0" collapsed="false">
      <c r="A35" s="35" t="s">
        <v>59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</sheetData>
  <mergeCells count="12">
    <mergeCell ref="A1:O1"/>
    <mergeCell ref="A2:O2"/>
    <mergeCell ref="A4:A5"/>
    <mergeCell ref="B4:B5"/>
    <mergeCell ref="C4:C5"/>
    <mergeCell ref="D4:K4"/>
    <mergeCell ref="L4:L5"/>
    <mergeCell ref="M4:M5"/>
    <mergeCell ref="N4:N5"/>
    <mergeCell ref="A31:C31"/>
    <mergeCell ref="A34:N34"/>
    <mergeCell ref="A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H24" activePane="bottomRight" state="frozen"/>
      <selection pane="topLeft" activeCell="A1" activeCellId="0" sqref="A1"/>
      <selection pane="topRight" activeCell="H1" activeCellId="0" sqref="H1"/>
      <selection pane="bottomLeft" activeCell="A24" activeCellId="0" sqref="A24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11" min="4" style="0" width="7"/>
    <col collapsed="false" customWidth="true" hidden="false" outlineLevel="0" max="12" min="12" style="0" width="9"/>
    <col collapsed="false" customWidth="true" hidden="false" outlineLevel="0" max="14" min="13" style="0" width="12"/>
  </cols>
  <sheetData>
    <row r="1" customFormat="false" ht="39.75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1.75" hidden="false" customHeight="true" outlineLevel="0" collapsed="false">
      <c r="A4" s="20" t="s">
        <v>2</v>
      </c>
      <c r="B4" s="20" t="s">
        <v>43</v>
      </c>
      <c r="C4" s="20" t="s">
        <v>3</v>
      </c>
      <c r="D4" s="21" t="s">
        <v>44</v>
      </c>
      <c r="E4" s="21"/>
      <c r="F4" s="21"/>
      <c r="G4" s="21"/>
      <c r="H4" s="21"/>
      <c r="I4" s="21"/>
      <c r="J4" s="21"/>
      <c r="K4" s="21"/>
      <c r="L4" s="22" t="s">
        <v>45</v>
      </c>
      <c r="M4" s="23" t="s">
        <v>46</v>
      </c>
      <c r="N4" s="24" t="s">
        <v>47</v>
      </c>
      <c r="O4" s="25" t="s">
        <v>48</v>
      </c>
      <c r="P4" s="25" t="s">
        <v>49</v>
      </c>
    </row>
    <row r="5" customFormat="false" ht="18" hidden="false" customHeight="true" outlineLevel="0" collapsed="false">
      <c r="A5" s="20"/>
      <c r="B5" s="20"/>
      <c r="C5" s="20"/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22"/>
      <c r="M5" s="23"/>
      <c r="N5" s="23"/>
      <c r="O5" s="26"/>
      <c r="P5" s="26"/>
    </row>
    <row r="6" customFormat="false" ht="14.25" hidden="false" customHeight="false" outlineLevel="0" collapsed="false">
      <c r="A6" s="11" t="n">
        <v>1</v>
      </c>
      <c r="B6" s="12" t="s">
        <v>50</v>
      </c>
      <c r="C6" s="12" t="s">
        <v>16</v>
      </c>
      <c r="D6" s="11"/>
      <c r="E6" s="11" t="n">
        <v>2</v>
      </c>
      <c r="F6" s="11" t="n">
        <v>3</v>
      </c>
      <c r="G6" s="11" t="n">
        <v>3</v>
      </c>
      <c r="H6" s="11" t="n">
        <v>5</v>
      </c>
      <c r="I6" s="11" t="n">
        <v>14</v>
      </c>
      <c r="J6" s="11" t="n">
        <v>3</v>
      </c>
      <c r="K6" s="11"/>
      <c r="L6" s="13" t="n">
        <f aca="false">SUM(D6:K6)</f>
        <v>30</v>
      </c>
      <c r="M6" s="36" t="n">
        <v>6</v>
      </c>
      <c r="N6" s="36" t="n">
        <v>6</v>
      </c>
      <c r="O6" s="11"/>
      <c r="P6" s="28" t="n">
        <f aca="false">IFERROR(M6/L6*100,0)</f>
        <v>20</v>
      </c>
    </row>
    <row r="7" customFormat="false" ht="14.25" hidden="false" customHeight="false" outlineLevel="0" collapsed="false">
      <c r="A7" s="14" t="n">
        <v>2</v>
      </c>
      <c r="B7" s="15" t="s">
        <v>50</v>
      </c>
      <c r="C7" s="15" t="s">
        <v>17</v>
      </c>
      <c r="D7" s="14"/>
      <c r="E7" s="14"/>
      <c r="F7" s="14"/>
      <c r="G7" s="14"/>
      <c r="H7" s="14"/>
      <c r="I7" s="14"/>
      <c r="J7" s="14"/>
      <c r="K7" s="14"/>
      <c r="L7" s="13" t="n">
        <f aca="false">SUM(D7:K7)</f>
        <v>0</v>
      </c>
      <c r="M7" s="36" t="n">
        <v>5</v>
      </c>
      <c r="N7" s="36" t="n">
        <v>10</v>
      </c>
      <c r="O7" s="14"/>
      <c r="P7" s="29" t="n">
        <f aca="false">IFERROR(M7/L7*100,0)</f>
        <v>0</v>
      </c>
    </row>
    <row r="8" customFormat="false" ht="14.25" hidden="false" customHeight="false" outlineLevel="0" collapsed="false">
      <c r="A8" s="11" t="n">
        <v>3</v>
      </c>
      <c r="B8" s="12" t="s">
        <v>51</v>
      </c>
      <c r="C8" s="12" t="s">
        <v>18</v>
      </c>
      <c r="D8" s="11"/>
      <c r="E8" s="11" t="n">
        <v>1</v>
      </c>
      <c r="F8" s="11" t="n">
        <v>4</v>
      </c>
      <c r="G8" s="11" t="n">
        <v>4</v>
      </c>
      <c r="H8" s="11" t="n">
        <v>8</v>
      </c>
      <c r="I8" s="11" t="n">
        <v>11</v>
      </c>
      <c r="J8" s="11"/>
      <c r="K8" s="11" t="n">
        <v>1</v>
      </c>
      <c r="L8" s="13" t="n">
        <f aca="false">SUM(D8:K8)</f>
        <v>29</v>
      </c>
      <c r="M8" s="36" t="n">
        <v>2</v>
      </c>
      <c r="N8" s="36" t="n">
        <v>5</v>
      </c>
      <c r="O8" s="11"/>
      <c r="P8" s="28" t="n">
        <f aca="false">IFERROR(M8/L8*100,0)</f>
        <v>6.89655172413793</v>
      </c>
    </row>
    <row r="9" customFormat="false" ht="14.25" hidden="false" customHeight="false" outlineLevel="0" collapsed="false">
      <c r="A9" s="14" t="n">
        <v>4</v>
      </c>
      <c r="B9" s="15" t="s">
        <v>51</v>
      </c>
      <c r="C9" s="15" t="s">
        <v>19</v>
      </c>
      <c r="D9" s="14"/>
      <c r="E9" s="14"/>
      <c r="F9" s="14"/>
      <c r="G9" s="14"/>
      <c r="H9" s="14"/>
      <c r="I9" s="14"/>
      <c r="J9" s="14"/>
      <c r="K9" s="14"/>
      <c r="L9" s="13" t="n">
        <f aca="false">SUM(D9:K9)</f>
        <v>0</v>
      </c>
      <c r="M9" s="36" t="n">
        <v>12</v>
      </c>
      <c r="N9" s="36" t="n">
        <v>8</v>
      </c>
      <c r="O9" s="14"/>
      <c r="P9" s="29" t="n">
        <f aca="false">IFERROR(M9/L9*100,0)</f>
        <v>0</v>
      </c>
    </row>
    <row r="10" customFormat="false" ht="14.25" hidden="false" customHeight="false" outlineLevel="0" collapsed="false">
      <c r="A10" s="11" t="n">
        <v>5</v>
      </c>
      <c r="B10" s="12" t="s">
        <v>20</v>
      </c>
      <c r="C10" s="12" t="s">
        <v>20</v>
      </c>
      <c r="D10" s="11"/>
      <c r="E10" s="11" t="n">
        <v>1</v>
      </c>
      <c r="F10" s="11" t="n">
        <v>1</v>
      </c>
      <c r="G10" s="11" t="n">
        <v>4</v>
      </c>
      <c r="H10" s="11" t="n">
        <v>2</v>
      </c>
      <c r="I10" s="11" t="n">
        <v>12</v>
      </c>
      <c r="J10" s="11" t="n">
        <v>6</v>
      </c>
      <c r="K10" s="11" t="n">
        <v>1</v>
      </c>
      <c r="L10" s="13" t="n">
        <f aca="false">SUM(D10:K10)</f>
        <v>27</v>
      </c>
      <c r="M10" s="36" t="n">
        <v>14</v>
      </c>
      <c r="N10" s="36" t="n">
        <v>16</v>
      </c>
      <c r="O10" s="11"/>
      <c r="P10" s="28" t="n">
        <f aca="false">IFERROR(M10/L10*100,0)</f>
        <v>51.8518518518519</v>
      </c>
    </row>
    <row r="11" customFormat="false" ht="14.25" hidden="false" customHeight="false" outlineLevel="0" collapsed="false">
      <c r="A11" s="14" t="n">
        <v>6</v>
      </c>
      <c r="B11" s="15" t="s">
        <v>21</v>
      </c>
      <c r="C11" s="15" t="s">
        <v>21</v>
      </c>
      <c r="D11" s="14"/>
      <c r="E11" s="14"/>
      <c r="F11" s="14"/>
      <c r="G11" s="14"/>
      <c r="H11" s="14" t="n">
        <v>1</v>
      </c>
      <c r="I11" s="14" t="n">
        <v>3</v>
      </c>
      <c r="J11" s="14"/>
      <c r="K11" s="14"/>
      <c r="L11" s="13" t="n">
        <f aca="false">SUM(D11:K11)</f>
        <v>4</v>
      </c>
      <c r="M11" s="36" t="n">
        <v>12</v>
      </c>
      <c r="N11" s="36" t="n">
        <v>14</v>
      </c>
      <c r="O11" s="14"/>
      <c r="P11" s="29" t="n">
        <f aca="false">IFERROR(M11/L11*100,0)</f>
        <v>300</v>
      </c>
    </row>
    <row r="12" customFormat="false" ht="14.25" hidden="false" customHeight="false" outlineLevel="0" collapsed="false">
      <c r="A12" s="11" t="n">
        <v>7</v>
      </c>
      <c r="B12" s="12" t="s">
        <v>22</v>
      </c>
      <c r="C12" s="12" t="s">
        <v>22</v>
      </c>
      <c r="D12" s="11"/>
      <c r="E12" s="11"/>
      <c r="F12" s="11"/>
      <c r="G12" s="11" t="n">
        <v>1</v>
      </c>
      <c r="H12" s="11"/>
      <c r="I12" s="11" t="n">
        <v>2</v>
      </c>
      <c r="J12" s="11" t="n">
        <v>1</v>
      </c>
      <c r="K12" s="11"/>
      <c r="L12" s="13" t="n">
        <f aca="false">SUM(D12:K12)</f>
        <v>4</v>
      </c>
      <c r="M12" s="36" t="n">
        <v>1</v>
      </c>
      <c r="N12" s="36"/>
      <c r="O12" s="11"/>
      <c r="P12" s="28" t="n">
        <f aca="false">IFERROR(M12/L12*100,0)</f>
        <v>25</v>
      </c>
    </row>
    <row r="13" customFormat="false" ht="14.25" hidden="false" customHeight="false" outlineLevel="0" collapsed="false">
      <c r="A13" s="14" t="n">
        <v>8</v>
      </c>
      <c r="B13" s="15" t="s">
        <v>52</v>
      </c>
      <c r="C13" s="15" t="s">
        <v>23</v>
      </c>
      <c r="D13" s="14"/>
      <c r="E13" s="14" t="n">
        <v>1</v>
      </c>
      <c r="F13" s="14" t="n">
        <v>2</v>
      </c>
      <c r="G13" s="14" t="n">
        <v>3</v>
      </c>
      <c r="H13" s="14" t="n">
        <v>1</v>
      </c>
      <c r="I13" s="14" t="n">
        <v>5</v>
      </c>
      <c r="J13" s="14"/>
      <c r="K13" s="14"/>
      <c r="L13" s="13" t="n">
        <f aca="false">SUM(D13:K13)</f>
        <v>12</v>
      </c>
      <c r="M13" s="36" t="n">
        <v>4</v>
      </c>
      <c r="N13" s="36" t="n">
        <v>9</v>
      </c>
      <c r="O13" s="14"/>
      <c r="P13" s="29" t="n">
        <f aca="false">IFERROR(M13/L13*100,0)</f>
        <v>33.3333333333333</v>
      </c>
    </row>
    <row r="14" customFormat="false" ht="14.25" hidden="false" customHeight="false" outlineLevel="0" collapsed="false">
      <c r="A14" s="11" t="n">
        <v>9</v>
      </c>
      <c r="B14" s="12" t="s">
        <v>52</v>
      </c>
      <c r="C14" s="12" t="s">
        <v>24</v>
      </c>
      <c r="D14" s="11"/>
      <c r="E14" s="11"/>
      <c r="F14" s="11"/>
      <c r="G14" s="11"/>
      <c r="H14" s="11"/>
      <c r="I14" s="11"/>
      <c r="J14" s="11"/>
      <c r="K14" s="11"/>
      <c r="L14" s="13" t="n">
        <f aca="false">SUM(D14:K14)</f>
        <v>0</v>
      </c>
      <c r="M14" s="36" t="n">
        <v>2</v>
      </c>
      <c r="N14" s="36" t="n">
        <v>6</v>
      </c>
      <c r="O14" s="11"/>
      <c r="P14" s="28" t="n">
        <f aca="false">IFERROR(M14/L14*100,0)</f>
        <v>0</v>
      </c>
    </row>
    <row r="15" customFormat="false" ht="14.25" hidden="false" customHeight="false" outlineLevel="0" collapsed="false">
      <c r="A15" s="14" t="n">
        <v>10</v>
      </c>
      <c r="B15" s="15" t="s">
        <v>53</v>
      </c>
      <c r="C15" s="15" t="s">
        <v>25</v>
      </c>
      <c r="D15" s="14" t="n">
        <v>1</v>
      </c>
      <c r="E15" s="14"/>
      <c r="F15" s="14" t="n">
        <v>6</v>
      </c>
      <c r="G15" s="14" t="n">
        <v>2</v>
      </c>
      <c r="H15" s="14" t="n">
        <v>5</v>
      </c>
      <c r="I15" s="14" t="n">
        <v>9</v>
      </c>
      <c r="J15" s="14" t="n">
        <v>1</v>
      </c>
      <c r="K15" s="14"/>
      <c r="L15" s="13" t="n">
        <f aca="false">SUM(D15:K15)</f>
        <v>24</v>
      </c>
      <c r="M15" s="36" t="n">
        <v>2</v>
      </c>
      <c r="N15" s="36" t="n">
        <v>3</v>
      </c>
      <c r="O15" s="14"/>
      <c r="P15" s="29" t="n">
        <f aca="false">IFERROR(M15/L15*100,0)</f>
        <v>8.33333333333333</v>
      </c>
    </row>
    <row r="16" customFormat="false" ht="14.25" hidden="false" customHeight="false" outlineLevel="0" collapsed="false">
      <c r="A16" s="11" t="n">
        <v>11</v>
      </c>
      <c r="B16" s="12" t="s">
        <v>53</v>
      </c>
      <c r="C16" s="12" t="s">
        <v>26</v>
      </c>
      <c r="D16" s="11"/>
      <c r="E16" s="11"/>
      <c r="F16" s="11"/>
      <c r="G16" s="11"/>
      <c r="H16" s="11"/>
      <c r="I16" s="11"/>
      <c r="J16" s="11"/>
      <c r="K16" s="11"/>
      <c r="L16" s="13" t="n">
        <f aca="false">SUM(D16:K16)</f>
        <v>0</v>
      </c>
      <c r="M16" s="36" t="n">
        <v>4</v>
      </c>
      <c r="N16" s="36" t="n">
        <v>2</v>
      </c>
      <c r="O16" s="11"/>
      <c r="P16" s="28" t="n">
        <f aca="false">IFERROR(M16/L16*100,0)</f>
        <v>0</v>
      </c>
    </row>
    <row r="17" customFormat="false" ht="14.25" hidden="false" customHeight="false" outlineLevel="0" collapsed="false">
      <c r="A17" s="14" t="n">
        <v>12</v>
      </c>
      <c r="B17" s="15" t="s">
        <v>53</v>
      </c>
      <c r="C17" s="15" t="s">
        <v>27</v>
      </c>
      <c r="D17" s="14"/>
      <c r="E17" s="14"/>
      <c r="F17" s="14"/>
      <c r="G17" s="14"/>
      <c r="H17" s="14"/>
      <c r="I17" s="14"/>
      <c r="J17" s="14"/>
      <c r="K17" s="14"/>
      <c r="L17" s="13" t="n">
        <f aca="false">SUM(D17:K17)</f>
        <v>0</v>
      </c>
      <c r="M17" s="36" t="n">
        <v>6</v>
      </c>
      <c r="N17" s="36" t="n">
        <v>2</v>
      </c>
      <c r="O17" s="14"/>
      <c r="P17" s="29" t="n">
        <f aca="false">IFERROR(M17/L17*100,0)</f>
        <v>0</v>
      </c>
    </row>
    <row r="18" customFormat="false" ht="14.25" hidden="false" customHeight="false" outlineLevel="0" collapsed="false">
      <c r="A18" s="11" t="n">
        <v>13</v>
      </c>
      <c r="B18" s="12" t="s">
        <v>28</v>
      </c>
      <c r="C18" s="12" t="s">
        <v>28</v>
      </c>
      <c r="D18" s="11"/>
      <c r="E18" s="11" t="n">
        <v>1</v>
      </c>
      <c r="F18" s="11" t="n">
        <v>7</v>
      </c>
      <c r="G18" s="11" t="n">
        <v>9</v>
      </c>
      <c r="H18" s="11" t="n">
        <v>6</v>
      </c>
      <c r="I18" s="11" t="n">
        <v>8</v>
      </c>
      <c r="J18" s="11"/>
      <c r="K18" s="11"/>
      <c r="L18" s="13" t="n">
        <f aca="false">SUM(D18:K18)</f>
        <v>31</v>
      </c>
      <c r="M18" s="36" t="n">
        <v>20</v>
      </c>
      <c r="N18" s="36" t="n">
        <v>12</v>
      </c>
      <c r="O18" s="11"/>
      <c r="P18" s="28" t="n">
        <f aca="false">IFERROR(M18/L18*100,0)</f>
        <v>64.5161290322581</v>
      </c>
    </row>
    <row r="19" customFormat="false" ht="14.25" hidden="false" customHeight="false" outlineLevel="0" collapsed="false">
      <c r="A19" s="14" t="n">
        <v>14</v>
      </c>
      <c r="B19" s="15" t="s">
        <v>29</v>
      </c>
      <c r="C19" s="15" t="s">
        <v>29</v>
      </c>
      <c r="D19" s="14" t="n">
        <v>1</v>
      </c>
      <c r="E19" s="14"/>
      <c r="F19" s="14" t="n">
        <v>7</v>
      </c>
      <c r="G19" s="14" t="n">
        <v>12</v>
      </c>
      <c r="H19" s="14" t="n">
        <v>9</v>
      </c>
      <c r="I19" s="14" t="n">
        <v>10</v>
      </c>
      <c r="J19" s="14"/>
      <c r="K19" s="14"/>
      <c r="L19" s="13" t="n">
        <f aca="false">SUM(D19:K19)</f>
        <v>39</v>
      </c>
      <c r="M19" s="36" t="n">
        <v>16</v>
      </c>
      <c r="N19" s="36" t="n">
        <v>23</v>
      </c>
      <c r="O19" s="14"/>
      <c r="P19" s="29" t="n">
        <f aca="false">IFERROR(M19/L19*100,0)</f>
        <v>41.025641025641</v>
      </c>
    </row>
    <row r="20" customFormat="false" ht="14.25" hidden="false" customHeight="false" outlineLevel="0" collapsed="false">
      <c r="A20" s="11" t="n">
        <v>15</v>
      </c>
      <c r="B20" s="12" t="s">
        <v>30</v>
      </c>
      <c r="C20" s="12" t="s">
        <v>30</v>
      </c>
      <c r="D20" s="11"/>
      <c r="E20" s="11" t="n">
        <v>1</v>
      </c>
      <c r="F20" s="11"/>
      <c r="G20" s="11"/>
      <c r="H20" s="11"/>
      <c r="I20" s="11"/>
      <c r="J20" s="11"/>
      <c r="K20" s="11"/>
      <c r="L20" s="13" t="n">
        <f aca="false">SUM(D20:K20)</f>
        <v>1</v>
      </c>
      <c r="M20" s="36" t="n">
        <v>1</v>
      </c>
      <c r="N20" s="36"/>
      <c r="O20" s="11"/>
      <c r="P20" s="28" t="n">
        <f aca="false">IFERROR(M20/L20*100,0)</f>
        <v>100</v>
      </c>
    </row>
    <row r="21" customFormat="false" ht="14.25" hidden="false" customHeight="false" outlineLevel="0" collapsed="false">
      <c r="A21" s="14" t="n">
        <v>16</v>
      </c>
      <c r="B21" s="15" t="s">
        <v>54</v>
      </c>
      <c r="C21" s="15" t="s">
        <v>31</v>
      </c>
      <c r="D21" s="14"/>
      <c r="E21" s="14"/>
      <c r="F21" s="14"/>
      <c r="G21" s="14" t="n">
        <v>1</v>
      </c>
      <c r="H21" s="14" t="n">
        <v>1</v>
      </c>
      <c r="I21" s="14" t="n">
        <v>4</v>
      </c>
      <c r="J21" s="14"/>
      <c r="K21" s="14"/>
      <c r="L21" s="13" t="n">
        <f aca="false">SUM(D21:K21)</f>
        <v>6</v>
      </c>
      <c r="M21" s="27"/>
      <c r="N21" s="27"/>
      <c r="O21" s="14"/>
      <c r="P21" s="29" t="n">
        <f aca="false">IFERROR(M21/L21*100,0)</f>
        <v>0</v>
      </c>
    </row>
    <row r="22" customFormat="false" ht="14.25" hidden="false" customHeight="false" outlineLevel="0" collapsed="false">
      <c r="A22" s="11" t="n">
        <v>17</v>
      </c>
      <c r="B22" s="12" t="s">
        <v>54</v>
      </c>
      <c r="C22" s="12" t="s">
        <v>32</v>
      </c>
      <c r="D22" s="11"/>
      <c r="E22" s="11"/>
      <c r="F22" s="11"/>
      <c r="G22" s="11"/>
      <c r="H22" s="11"/>
      <c r="I22" s="11"/>
      <c r="J22" s="11"/>
      <c r="K22" s="11"/>
      <c r="L22" s="13" t="n">
        <f aca="false">SUM(D22:K22)</f>
        <v>0</v>
      </c>
      <c r="M22" s="36" t="n">
        <v>3</v>
      </c>
      <c r="N22" s="36"/>
      <c r="O22" s="11"/>
      <c r="P22" s="28" t="n">
        <f aca="false">IFERROR(M22/L22*100,0)</f>
        <v>0</v>
      </c>
    </row>
    <row r="23" customFormat="false" ht="14.25" hidden="false" customHeight="false" outlineLevel="0" collapsed="false">
      <c r="A23" s="14" t="n">
        <v>18</v>
      </c>
      <c r="B23" s="15" t="s">
        <v>55</v>
      </c>
      <c r="C23" s="15" t="s">
        <v>33</v>
      </c>
      <c r="D23" s="14" t="n">
        <v>2</v>
      </c>
      <c r="E23" s="14"/>
      <c r="F23" s="14" t="n">
        <v>3</v>
      </c>
      <c r="G23" s="14" t="n">
        <v>3</v>
      </c>
      <c r="H23" s="14" t="n">
        <v>6</v>
      </c>
      <c r="I23" s="14" t="n">
        <v>11</v>
      </c>
      <c r="J23" s="14" t="n">
        <v>4</v>
      </c>
      <c r="K23" s="14"/>
      <c r="L23" s="13" t="n">
        <f aca="false">SUM(D23:K23)</f>
        <v>29</v>
      </c>
      <c r="M23" s="36" t="n">
        <v>11</v>
      </c>
      <c r="N23" s="36" t="n">
        <v>9</v>
      </c>
      <c r="O23" s="14"/>
      <c r="P23" s="29" t="n">
        <f aca="false">IFERROR(M23/L23*100,0)</f>
        <v>37.9310344827586</v>
      </c>
    </row>
    <row r="24" customFormat="false" ht="14.25" hidden="false" customHeight="false" outlineLevel="0" collapsed="false">
      <c r="A24" s="11" t="n">
        <v>19</v>
      </c>
      <c r="B24" s="12" t="s">
        <v>55</v>
      </c>
      <c r="C24" s="12" t="s">
        <v>34</v>
      </c>
      <c r="D24" s="11"/>
      <c r="E24" s="11"/>
      <c r="F24" s="11"/>
      <c r="G24" s="11"/>
      <c r="H24" s="11"/>
      <c r="I24" s="11"/>
      <c r="J24" s="11"/>
      <c r="K24" s="11"/>
      <c r="L24" s="13" t="n">
        <f aca="false">SUM(D24:K24)</f>
        <v>0</v>
      </c>
      <c r="M24" s="36" t="n">
        <v>5</v>
      </c>
      <c r="N24" s="36" t="n">
        <v>4</v>
      </c>
      <c r="O24" s="11"/>
      <c r="P24" s="28" t="n">
        <f aca="false">IFERROR(M24/L24*100,0)</f>
        <v>0</v>
      </c>
    </row>
    <row r="25" customFormat="false" ht="14.25" hidden="false" customHeight="false" outlineLevel="0" collapsed="false">
      <c r="A25" s="14" t="n">
        <v>20</v>
      </c>
      <c r="B25" s="15" t="s">
        <v>35</v>
      </c>
      <c r="C25" s="15" t="s">
        <v>35</v>
      </c>
      <c r="D25" s="14"/>
      <c r="E25" s="14"/>
      <c r="F25" s="14"/>
      <c r="G25" s="14" t="n">
        <v>1</v>
      </c>
      <c r="H25" s="14" t="n">
        <v>1</v>
      </c>
      <c r="I25" s="14" t="n">
        <v>4</v>
      </c>
      <c r="J25" s="14" t="n">
        <v>3</v>
      </c>
      <c r="K25" s="14"/>
      <c r="L25" s="13" t="n">
        <f aca="false">SUM(D25:K25)</f>
        <v>9</v>
      </c>
      <c r="M25" s="36" t="n">
        <v>5</v>
      </c>
      <c r="N25" s="36" t="n">
        <v>3</v>
      </c>
      <c r="O25" s="14"/>
      <c r="P25" s="29" t="n">
        <f aca="false">IFERROR(M25/L25*100,0)</f>
        <v>55.5555555555556</v>
      </c>
    </row>
    <row r="26" customFormat="false" ht="14.25" hidden="false" customHeight="false" outlineLevel="0" collapsed="false">
      <c r="A26" s="11" t="n">
        <v>21</v>
      </c>
      <c r="B26" s="12" t="s">
        <v>56</v>
      </c>
      <c r="C26" s="12" t="s">
        <v>36</v>
      </c>
      <c r="D26" s="11"/>
      <c r="E26" s="11" t="n">
        <v>1</v>
      </c>
      <c r="F26" s="11" t="n">
        <v>1</v>
      </c>
      <c r="G26" s="11" t="n">
        <v>2</v>
      </c>
      <c r="H26" s="11"/>
      <c r="I26" s="11" t="n">
        <v>2</v>
      </c>
      <c r="J26" s="11" t="n">
        <v>2</v>
      </c>
      <c r="K26" s="11"/>
      <c r="L26" s="13" t="n">
        <f aca="false">SUM(D26:K26)</f>
        <v>8</v>
      </c>
      <c r="M26" s="36" t="n">
        <v>3</v>
      </c>
      <c r="N26" s="36" t="n">
        <v>2</v>
      </c>
      <c r="O26" s="11"/>
      <c r="P26" s="28" t="n">
        <f aca="false">IFERROR(M26/L26*100,0)</f>
        <v>37.5</v>
      </c>
    </row>
    <row r="27" customFormat="false" ht="14.25" hidden="false" customHeight="false" outlineLevel="0" collapsed="false">
      <c r="A27" s="14" t="n">
        <v>22</v>
      </c>
      <c r="B27" s="15" t="s">
        <v>56</v>
      </c>
      <c r="C27" s="15" t="s">
        <v>37</v>
      </c>
      <c r="D27" s="14"/>
      <c r="E27" s="14"/>
      <c r="F27" s="14"/>
      <c r="G27" s="14"/>
      <c r="H27" s="14"/>
      <c r="I27" s="14"/>
      <c r="J27" s="14"/>
      <c r="K27" s="14"/>
      <c r="L27" s="13" t="n">
        <f aca="false">SUM(D27:K27)</f>
        <v>0</v>
      </c>
      <c r="M27" s="36"/>
      <c r="N27" s="36" t="n">
        <v>4</v>
      </c>
      <c r="O27" s="14"/>
      <c r="P27" s="29" t="n">
        <f aca="false">IFERROR(M27/L27*100,0)</f>
        <v>0</v>
      </c>
    </row>
    <row r="28" customFormat="false" ht="14.25" hidden="false" customHeight="false" outlineLevel="0" collapsed="false">
      <c r="A28" s="11" t="n">
        <v>23</v>
      </c>
      <c r="B28" s="12" t="s">
        <v>38</v>
      </c>
      <c r="C28" s="12" t="s">
        <v>38</v>
      </c>
      <c r="D28" s="11"/>
      <c r="E28" s="11"/>
      <c r="F28" s="11" t="n">
        <v>1</v>
      </c>
      <c r="G28" s="11" t="n">
        <v>1</v>
      </c>
      <c r="H28" s="11" t="n">
        <v>3</v>
      </c>
      <c r="I28" s="11" t="n">
        <v>9</v>
      </c>
      <c r="J28" s="11"/>
      <c r="K28" s="11"/>
      <c r="L28" s="13" t="n">
        <f aca="false">SUM(D28:K28)</f>
        <v>14</v>
      </c>
      <c r="M28" s="36" t="n">
        <v>9</v>
      </c>
      <c r="N28" s="36" t="n">
        <v>7</v>
      </c>
      <c r="O28" s="11"/>
      <c r="P28" s="28" t="n">
        <f aca="false">IFERROR(M28/L28*100,0)</f>
        <v>64.2857142857143</v>
      </c>
    </row>
    <row r="29" customFormat="false" ht="14.25" hidden="false" customHeight="false" outlineLevel="0" collapsed="false">
      <c r="A29" s="14" t="n">
        <v>24</v>
      </c>
      <c r="B29" s="15" t="s">
        <v>39</v>
      </c>
      <c r="C29" s="15" t="s">
        <v>39</v>
      </c>
      <c r="D29" s="14"/>
      <c r="E29" s="14"/>
      <c r="F29" s="14"/>
      <c r="G29" s="14" t="n">
        <v>1</v>
      </c>
      <c r="H29" s="14" t="n">
        <v>3</v>
      </c>
      <c r="I29" s="14" t="n">
        <v>13</v>
      </c>
      <c r="J29" s="14" t="n">
        <v>4</v>
      </c>
      <c r="K29" s="14" t="n">
        <v>1</v>
      </c>
      <c r="L29" s="13" t="n">
        <f aca="false">SUM(D29:K29)</f>
        <v>22</v>
      </c>
      <c r="M29" s="36" t="n">
        <v>13</v>
      </c>
      <c r="N29" s="36" t="n">
        <v>10</v>
      </c>
      <c r="O29" s="14"/>
      <c r="P29" s="29" t="n">
        <f aca="false">IFERROR(M29/L29*100,0)</f>
        <v>59.0909090909091</v>
      </c>
    </row>
    <row r="30" customFormat="false" ht="14.25" hidden="false" customHeight="false" outlineLevel="0" collapsed="false">
      <c r="A30" s="11" t="n">
        <v>25</v>
      </c>
      <c r="B30" s="12" t="s">
        <v>40</v>
      </c>
      <c r="C30" s="12" t="s">
        <v>40</v>
      </c>
      <c r="D30" s="11"/>
      <c r="E30" s="11"/>
      <c r="F30" s="11" t="n">
        <v>1</v>
      </c>
      <c r="G30" s="11" t="n">
        <v>2</v>
      </c>
      <c r="H30" s="11" t="n">
        <v>3</v>
      </c>
      <c r="I30" s="11" t="n">
        <v>3</v>
      </c>
      <c r="J30" s="11" t="n">
        <v>4</v>
      </c>
      <c r="K30" s="11" t="n">
        <v>1</v>
      </c>
      <c r="L30" s="13" t="n">
        <f aca="false">SUM(D30:K30)</f>
        <v>14</v>
      </c>
      <c r="M30" s="36" t="n">
        <v>6</v>
      </c>
      <c r="N30" s="36" t="n">
        <v>7</v>
      </c>
      <c r="O30" s="11"/>
      <c r="P30" s="28" t="n">
        <f aca="false">IFERROR(M30/L30*100,0)</f>
        <v>42.8571428571429</v>
      </c>
    </row>
    <row r="31" customFormat="false" ht="21.75" hidden="false" customHeight="true" outlineLevel="0" collapsed="false">
      <c r="A31" s="16" t="s">
        <v>41</v>
      </c>
      <c r="B31" s="16"/>
      <c r="C31" s="16"/>
      <c r="D31" s="30" t="n">
        <f aca="false">SUM(D6:D30)</f>
        <v>4</v>
      </c>
      <c r="E31" s="30" t="n">
        <f aca="false">SUM(E6:E30)</f>
        <v>8</v>
      </c>
      <c r="F31" s="30" t="n">
        <f aca="false">SUM(F6:F30)</f>
        <v>36</v>
      </c>
      <c r="G31" s="30" t="n">
        <f aca="false">SUM(G6:G30)</f>
        <v>49</v>
      </c>
      <c r="H31" s="30" t="n">
        <f aca="false">SUM(H6:H30)</f>
        <v>54</v>
      </c>
      <c r="I31" s="30" t="n">
        <f aca="false">SUM(I6:I30)</f>
        <v>120</v>
      </c>
      <c r="J31" s="30" t="n">
        <f aca="false">SUM(J6:J30)</f>
        <v>28</v>
      </c>
      <c r="K31" s="30" t="n">
        <f aca="false">SUM(K6:K30)</f>
        <v>4</v>
      </c>
      <c r="L31" s="19" t="n">
        <f aca="false">SUM(L6:L30)</f>
        <v>303</v>
      </c>
      <c r="M31" s="31" t="n">
        <f aca="false">SUM(M6:M30)</f>
        <v>162</v>
      </c>
      <c r="N31" s="31" t="n">
        <f aca="false">SUM(N6:N30)</f>
        <v>162</v>
      </c>
      <c r="O31" s="32" t="n">
        <f aca="false">SUM(O6:O30)</f>
        <v>0</v>
      </c>
      <c r="P31" s="33" t="n">
        <f aca="false">IFERROR(M31/L31*100,0)</f>
        <v>53.4653465346535</v>
      </c>
    </row>
    <row r="33" customFormat="false" ht="14.25" hidden="false" customHeight="false" outlineLevel="0" collapsed="false">
      <c r="A33" s="34" t="s">
        <v>57</v>
      </c>
    </row>
    <row r="34" customFormat="false" ht="14.25" hidden="false" customHeight="false" outlineLevel="0" collapsed="false">
      <c r="A34" s="35" t="s">
        <v>58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customFormat="false" ht="14.25" hidden="false" customHeight="false" outlineLevel="0" collapsed="false">
      <c r="A35" s="35" t="s">
        <v>59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customFormat="false" ht="14.25" hidden="false" customHeight="false" outlineLevel="0" collapsed="false">
      <c r="A36" s="37" t="s">
        <v>61</v>
      </c>
    </row>
  </sheetData>
  <mergeCells count="12">
    <mergeCell ref="A1:O1"/>
    <mergeCell ref="A2:O2"/>
    <mergeCell ref="A4:A5"/>
    <mergeCell ref="B4:B5"/>
    <mergeCell ref="C4:C5"/>
    <mergeCell ref="D4:K4"/>
    <mergeCell ref="L4:L5"/>
    <mergeCell ref="M4:M5"/>
    <mergeCell ref="N4:N5"/>
    <mergeCell ref="A31:C31"/>
    <mergeCell ref="A34:N34"/>
    <mergeCell ref="A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C11" activeCellId="0" sqref="C1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11" min="4" style="0" width="7"/>
    <col collapsed="false" customWidth="true" hidden="false" outlineLevel="0" max="12" min="12" style="0" width="9"/>
    <col collapsed="false" customWidth="true" hidden="false" outlineLevel="0" max="14" min="13" style="0" width="12"/>
  </cols>
  <sheetData>
    <row r="1" customFormat="false" ht="39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6" hidden="false" customHeight="true" outlineLevel="0" collapsed="false"/>
    <row r="4" customFormat="false" ht="21.75" hidden="false" customHeight="true" outlineLevel="0" collapsed="false">
      <c r="A4" s="20" t="s">
        <v>2</v>
      </c>
      <c r="B4" s="20" t="s">
        <v>43</v>
      </c>
      <c r="C4" s="20" t="s">
        <v>3</v>
      </c>
      <c r="D4" s="21" t="s">
        <v>44</v>
      </c>
      <c r="E4" s="21"/>
      <c r="F4" s="21"/>
      <c r="G4" s="21"/>
      <c r="H4" s="21"/>
      <c r="I4" s="21"/>
      <c r="J4" s="21"/>
      <c r="K4" s="21"/>
      <c r="L4" s="22" t="s">
        <v>45</v>
      </c>
      <c r="M4" s="23" t="s">
        <v>46</v>
      </c>
      <c r="N4" s="24" t="s">
        <v>47</v>
      </c>
      <c r="O4" s="25" t="s">
        <v>48</v>
      </c>
      <c r="P4" s="25" t="s">
        <v>49</v>
      </c>
    </row>
    <row r="5" customFormat="false" ht="18" hidden="false" customHeight="true" outlineLevel="0" collapsed="false">
      <c r="A5" s="20"/>
      <c r="B5" s="20"/>
      <c r="C5" s="20"/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22"/>
      <c r="M5" s="23"/>
      <c r="N5" s="23"/>
      <c r="O5" s="26"/>
      <c r="P5" s="26"/>
    </row>
    <row r="6" customFormat="false" ht="14.25" hidden="false" customHeight="false" outlineLevel="0" collapsed="false">
      <c r="A6" s="11" t="n">
        <v>1</v>
      </c>
      <c r="B6" s="12" t="s">
        <v>50</v>
      </c>
      <c r="C6" s="12" t="s">
        <v>16</v>
      </c>
      <c r="D6" s="11"/>
      <c r="E6" s="11"/>
      <c r="F6" s="11" t="n">
        <v>1</v>
      </c>
      <c r="G6" s="11" t="n">
        <v>2</v>
      </c>
      <c r="H6" s="11" t="n">
        <v>3</v>
      </c>
      <c r="I6" s="11" t="n">
        <v>8</v>
      </c>
      <c r="J6" s="11" t="n">
        <v>3</v>
      </c>
      <c r="K6" s="11" t="n">
        <v>5</v>
      </c>
      <c r="L6" s="13" t="n">
        <f aca="false">SUM(D6:K6)</f>
        <v>22</v>
      </c>
      <c r="M6" s="27" t="n">
        <v>11</v>
      </c>
      <c r="N6" s="27" t="n">
        <v>11</v>
      </c>
      <c r="O6" s="11"/>
      <c r="P6" s="28" t="n">
        <f aca="false">IFERROR(M6/L6*100,0)</f>
        <v>50</v>
      </c>
    </row>
    <row r="7" customFormat="false" ht="14.25" hidden="false" customHeight="false" outlineLevel="0" collapsed="false">
      <c r="A7" s="14" t="n">
        <v>2</v>
      </c>
      <c r="B7" s="15" t="s">
        <v>50</v>
      </c>
      <c r="C7" s="15" t="s">
        <v>17</v>
      </c>
      <c r="D7" s="14"/>
      <c r="E7" s="14"/>
      <c r="F7" s="14" t="n">
        <v>5</v>
      </c>
      <c r="G7" s="14" t="n">
        <v>4</v>
      </c>
      <c r="H7" s="14" t="n">
        <v>4</v>
      </c>
      <c r="I7" s="14" t="n">
        <v>11</v>
      </c>
      <c r="J7" s="14" t="n">
        <v>2</v>
      </c>
      <c r="K7" s="14" t="n">
        <v>2</v>
      </c>
      <c r="L7" s="13" t="n">
        <f aca="false">SUM(D7:K7)</f>
        <v>28</v>
      </c>
      <c r="M7" s="27" t="n">
        <v>13</v>
      </c>
      <c r="N7" s="27" t="n">
        <v>15</v>
      </c>
      <c r="O7" s="14"/>
      <c r="P7" s="29" t="n">
        <f aca="false">IFERROR(M7/L7*100,0)</f>
        <v>46.4285714285714</v>
      </c>
    </row>
    <row r="8" customFormat="false" ht="14.25" hidden="false" customHeight="false" outlineLevel="0" collapsed="false">
      <c r="A8" s="11" t="n">
        <v>3</v>
      </c>
      <c r="B8" s="12" t="s">
        <v>51</v>
      </c>
      <c r="C8" s="12" t="s">
        <v>18</v>
      </c>
      <c r="D8" s="11"/>
      <c r="E8" s="11"/>
      <c r="F8" s="11"/>
      <c r="G8" s="11" t="n">
        <v>2</v>
      </c>
      <c r="H8" s="11" t="n">
        <v>1</v>
      </c>
      <c r="I8" s="11" t="n">
        <v>11</v>
      </c>
      <c r="J8" s="11" t="n">
        <v>5</v>
      </c>
      <c r="K8" s="11" t="n">
        <v>1</v>
      </c>
      <c r="L8" s="13" t="n">
        <f aca="false">SUM(D8:K8)</f>
        <v>20</v>
      </c>
      <c r="M8" s="27" t="n">
        <v>8</v>
      </c>
      <c r="N8" s="27" t="n">
        <v>12</v>
      </c>
      <c r="O8" s="11"/>
      <c r="P8" s="28" t="n">
        <f aca="false">IFERROR(M8/L8*100,0)</f>
        <v>40</v>
      </c>
    </row>
    <row r="9" customFormat="false" ht="14.25" hidden="false" customHeight="false" outlineLevel="0" collapsed="false">
      <c r="A9" s="14" t="n">
        <v>4</v>
      </c>
      <c r="B9" s="15" t="s">
        <v>51</v>
      </c>
      <c r="C9" s="15" t="s">
        <v>19</v>
      </c>
      <c r="D9" s="14"/>
      <c r="E9" s="14" t="n">
        <v>1</v>
      </c>
      <c r="F9" s="14" t="n">
        <v>1</v>
      </c>
      <c r="G9" s="14" t="n">
        <v>5</v>
      </c>
      <c r="H9" s="14" t="n">
        <v>3</v>
      </c>
      <c r="I9" s="14" t="n">
        <v>7</v>
      </c>
      <c r="J9" s="14" t="n">
        <v>5</v>
      </c>
      <c r="K9" s="14"/>
      <c r="L9" s="13" t="n">
        <f aca="false">SUM(D9:K9)</f>
        <v>22</v>
      </c>
      <c r="M9" s="27" t="n">
        <v>11</v>
      </c>
      <c r="N9" s="27" t="n">
        <v>11</v>
      </c>
      <c r="O9" s="14"/>
      <c r="P9" s="29" t="n">
        <f aca="false">IFERROR(M9/L9*100,0)</f>
        <v>50</v>
      </c>
    </row>
    <row r="10" customFormat="false" ht="14.25" hidden="false" customHeight="false" outlineLevel="0" collapsed="false">
      <c r="A10" s="11" t="n">
        <v>5</v>
      </c>
      <c r="B10" s="12" t="s">
        <v>20</v>
      </c>
      <c r="C10" s="12" t="s">
        <v>20</v>
      </c>
      <c r="D10" s="11"/>
      <c r="E10" s="11"/>
      <c r="F10" s="11"/>
      <c r="G10" s="11"/>
      <c r="H10" s="11" t="n">
        <v>4</v>
      </c>
      <c r="I10" s="11" t="n">
        <v>12</v>
      </c>
      <c r="J10" s="11" t="n">
        <v>3</v>
      </c>
      <c r="K10" s="11" t="n">
        <v>1</v>
      </c>
      <c r="L10" s="13" t="n">
        <f aca="false">SUM(D10:K10)</f>
        <v>20</v>
      </c>
      <c r="M10" s="27" t="n">
        <v>14</v>
      </c>
      <c r="N10" s="27" t="n">
        <v>6</v>
      </c>
      <c r="O10" s="11"/>
      <c r="P10" s="28" t="n">
        <f aca="false">IFERROR(M10/L10*100,0)</f>
        <v>70</v>
      </c>
    </row>
    <row r="11" customFormat="false" ht="14.25" hidden="false" customHeight="false" outlineLevel="0" collapsed="false">
      <c r="A11" s="14" t="n">
        <v>6</v>
      </c>
      <c r="B11" s="15" t="s">
        <v>21</v>
      </c>
      <c r="C11" s="15" t="s">
        <v>21</v>
      </c>
      <c r="D11" s="14"/>
      <c r="E11" s="14"/>
      <c r="F11" s="14" t="n">
        <v>4</v>
      </c>
      <c r="G11" s="14"/>
      <c r="H11" s="14" t="n">
        <v>4</v>
      </c>
      <c r="I11" s="14" t="n">
        <v>10</v>
      </c>
      <c r="J11" s="14" t="n">
        <v>3</v>
      </c>
      <c r="K11" s="14" t="n">
        <v>12</v>
      </c>
      <c r="L11" s="13" t="n">
        <f aca="false">SUM(D11:K11)</f>
        <v>33</v>
      </c>
      <c r="M11" s="27" t="n">
        <v>18</v>
      </c>
      <c r="N11" s="27" t="n">
        <v>15</v>
      </c>
      <c r="O11" s="14"/>
      <c r="P11" s="29" t="n">
        <f aca="false">IFERROR(M11/L11*100,0)</f>
        <v>54.5454545454545</v>
      </c>
    </row>
    <row r="12" customFormat="false" ht="14.25" hidden="false" customHeight="false" outlineLevel="0" collapsed="false">
      <c r="A12" s="11" t="n">
        <v>7</v>
      </c>
      <c r="B12" s="12" t="s">
        <v>22</v>
      </c>
      <c r="C12" s="12" t="s">
        <v>22</v>
      </c>
      <c r="D12" s="11"/>
      <c r="E12" s="11" t="n">
        <v>5</v>
      </c>
      <c r="F12" s="11" t="n">
        <v>3</v>
      </c>
      <c r="G12" s="11" t="n">
        <v>2</v>
      </c>
      <c r="H12" s="11" t="n">
        <v>9</v>
      </c>
      <c r="I12" s="11" t="n">
        <v>14</v>
      </c>
      <c r="J12" s="11" t="n">
        <v>9</v>
      </c>
      <c r="K12" s="11"/>
      <c r="L12" s="13" t="n">
        <f aca="false">SUM(D12:K12)</f>
        <v>42</v>
      </c>
      <c r="M12" s="27" t="n">
        <v>26</v>
      </c>
      <c r="N12" s="27" t="n">
        <v>16</v>
      </c>
      <c r="O12" s="11"/>
      <c r="P12" s="28" t="n">
        <f aca="false">IFERROR(M12/L12*100,0)</f>
        <v>61.9047619047619</v>
      </c>
    </row>
    <row r="13" customFormat="false" ht="14.25" hidden="false" customHeight="false" outlineLevel="0" collapsed="false">
      <c r="A13" s="14" t="n">
        <v>8</v>
      </c>
      <c r="B13" s="15" t="s">
        <v>52</v>
      </c>
      <c r="C13" s="15" t="s">
        <v>23</v>
      </c>
      <c r="D13" s="14"/>
      <c r="E13" s="14"/>
      <c r="F13" s="14" t="n">
        <v>1</v>
      </c>
      <c r="G13" s="14" t="n">
        <v>6</v>
      </c>
      <c r="H13" s="14" t="n">
        <v>1</v>
      </c>
      <c r="I13" s="14" t="n">
        <v>5</v>
      </c>
      <c r="J13" s="14"/>
      <c r="K13" s="14" t="n">
        <v>2</v>
      </c>
      <c r="L13" s="13" t="n">
        <f aca="false">SUM(D13:K13)</f>
        <v>15</v>
      </c>
      <c r="M13" s="27" t="n">
        <v>6</v>
      </c>
      <c r="N13" s="27" t="n">
        <v>9</v>
      </c>
      <c r="O13" s="14"/>
      <c r="P13" s="29" t="n">
        <f aca="false">IFERROR(M13/L13*100,0)</f>
        <v>40</v>
      </c>
    </row>
    <row r="14" customFormat="false" ht="14.25" hidden="false" customHeight="false" outlineLevel="0" collapsed="false">
      <c r="A14" s="11" t="n">
        <v>9</v>
      </c>
      <c r="B14" s="12" t="s">
        <v>52</v>
      </c>
      <c r="C14" s="12" t="s">
        <v>24</v>
      </c>
      <c r="D14" s="11"/>
      <c r="E14" s="11" t="n">
        <v>4</v>
      </c>
      <c r="F14" s="11" t="n">
        <v>3</v>
      </c>
      <c r="G14" s="11" t="n">
        <v>7</v>
      </c>
      <c r="H14" s="11" t="n">
        <v>3</v>
      </c>
      <c r="I14" s="11" t="n">
        <v>10</v>
      </c>
      <c r="J14" s="11" t="n">
        <v>3</v>
      </c>
      <c r="K14" s="11"/>
      <c r="L14" s="13" t="n">
        <f aca="false">SUM(D14:K14)</f>
        <v>30</v>
      </c>
      <c r="M14" s="27" t="n">
        <v>17</v>
      </c>
      <c r="N14" s="27" t="n">
        <v>13</v>
      </c>
      <c r="O14" s="11"/>
      <c r="P14" s="28" t="n">
        <f aca="false">IFERROR(M14/L14*100,0)</f>
        <v>56.6666666666667</v>
      </c>
    </row>
    <row r="15" customFormat="false" ht="14.25" hidden="false" customHeight="false" outlineLevel="0" collapsed="false">
      <c r="A15" s="14" t="n">
        <v>10</v>
      </c>
      <c r="B15" s="15" t="s">
        <v>53</v>
      </c>
      <c r="C15" s="15" t="s">
        <v>25</v>
      </c>
      <c r="D15" s="14"/>
      <c r="E15" s="14"/>
      <c r="F15" s="14" t="n">
        <v>2</v>
      </c>
      <c r="G15" s="14"/>
      <c r="H15" s="14"/>
      <c r="I15" s="14"/>
      <c r="J15" s="14"/>
      <c r="K15" s="14"/>
      <c r="L15" s="13" t="n">
        <f aca="false">SUM(D15:K15)</f>
        <v>2</v>
      </c>
      <c r="M15" s="27" t="n">
        <v>1</v>
      </c>
      <c r="N15" s="27" t="n">
        <v>2</v>
      </c>
      <c r="O15" s="14"/>
      <c r="P15" s="29" t="n">
        <f aca="false">IFERROR(M15/L15*100,0)</f>
        <v>50</v>
      </c>
    </row>
    <row r="16" customFormat="false" ht="14.25" hidden="false" customHeight="false" outlineLevel="0" collapsed="false">
      <c r="A16" s="11" t="n">
        <v>11</v>
      </c>
      <c r="B16" s="12" t="s">
        <v>53</v>
      </c>
      <c r="C16" s="12" t="s">
        <v>26</v>
      </c>
      <c r="D16" s="11"/>
      <c r="E16" s="11" t="n">
        <v>1</v>
      </c>
      <c r="F16" s="11" t="n">
        <v>3</v>
      </c>
      <c r="G16" s="11" t="n">
        <v>1</v>
      </c>
      <c r="H16" s="11" t="n">
        <v>1</v>
      </c>
      <c r="I16" s="11" t="n">
        <v>8</v>
      </c>
      <c r="J16" s="11"/>
      <c r="K16" s="11"/>
      <c r="L16" s="13" t="n">
        <f aca="false">SUM(D16:K16)</f>
        <v>14</v>
      </c>
      <c r="M16" s="27" t="n">
        <v>10</v>
      </c>
      <c r="N16" s="27" t="n">
        <v>4</v>
      </c>
      <c r="O16" s="11"/>
      <c r="P16" s="28" t="n">
        <f aca="false">IFERROR(M16/L16*100,0)</f>
        <v>71.4285714285714</v>
      </c>
    </row>
    <row r="17" customFormat="false" ht="14.25" hidden="false" customHeight="false" outlineLevel="0" collapsed="false">
      <c r="A17" s="14" t="n">
        <v>12</v>
      </c>
      <c r="B17" s="15" t="s">
        <v>53</v>
      </c>
      <c r="C17" s="15" t="s">
        <v>27</v>
      </c>
      <c r="D17" s="14"/>
      <c r="E17" s="14"/>
      <c r="F17" s="14"/>
      <c r="G17" s="14" t="n">
        <v>1</v>
      </c>
      <c r="H17" s="14" t="n">
        <v>4</v>
      </c>
      <c r="I17" s="14" t="n">
        <v>4</v>
      </c>
      <c r="J17" s="14"/>
      <c r="K17" s="14"/>
      <c r="L17" s="13" t="n">
        <f aca="false">SUM(D17:K17)</f>
        <v>9</v>
      </c>
      <c r="M17" s="27" t="n">
        <v>5</v>
      </c>
      <c r="N17" s="27" t="n">
        <v>4</v>
      </c>
      <c r="O17" s="14"/>
      <c r="P17" s="29" t="n">
        <f aca="false">IFERROR(M17/L17*100,0)</f>
        <v>55.5555555555556</v>
      </c>
    </row>
    <row r="18" customFormat="false" ht="14.25" hidden="false" customHeight="false" outlineLevel="0" collapsed="false">
      <c r="A18" s="11" t="n">
        <v>13</v>
      </c>
      <c r="B18" s="12" t="s">
        <v>28</v>
      </c>
      <c r="C18" s="12" t="s">
        <v>28</v>
      </c>
      <c r="D18" s="11"/>
      <c r="E18" s="11" t="n">
        <v>1</v>
      </c>
      <c r="F18" s="11" t="n">
        <v>2</v>
      </c>
      <c r="G18" s="11" t="n">
        <v>1</v>
      </c>
      <c r="H18" s="11" t="n">
        <v>6</v>
      </c>
      <c r="I18" s="11" t="n">
        <v>4</v>
      </c>
      <c r="J18" s="11"/>
      <c r="K18" s="11"/>
      <c r="L18" s="13" t="n">
        <f aca="false">SUM(D18:K18)</f>
        <v>14</v>
      </c>
      <c r="M18" s="27" t="n">
        <v>8</v>
      </c>
      <c r="N18" s="27" t="n">
        <v>7</v>
      </c>
      <c r="O18" s="11"/>
      <c r="P18" s="28" t="n">
        <f aca="false">IFERROR(M18/L18*100,0)</f>
        <v>57.1428571428571</v>
      </c>
    </row>
    <row r="19" customFormat="false" ht="14.25" hidden="false" customHeight="false" outlineLevel="0" collapsed="false">
      <c r="A19" s="14" t="n">
        <v>14</v>
      </c>
      <c r="B19" s="15" t="s">
        <v>29</v>
      </c>
      <c r="C19" s="15" t="s">
        <v>29</v>
      </c>
      <c r="D19" s="14"/>
      <c r="E19" s="14"/>
      <c r="F19" s="14" t="n">
        <v>2</v>
      </c>
      <c r="G19" s="14" t="n">
        <v>1</v>
      </c>
      <c r="H19" s="14" t="n">
        <v>5</v>
      </c>
      <c r="I19" s="14" t="n">
        <v>2</v>
      </c>
      <c r="J19" s="14"/>
      <c r="K19" s="14" t="n">
        <v>1</v>
      </c>
      <c r="L19" s="13" t="n">
        <f aca="false">SUM(D19:K19)</f>
        <v>11</v>
      </c>
      <c r="M19" s="27" t="n">
        <v>6</v>
      </c>
      <c r="N19" s="27" t="n">
        <v>5</v>
      </c>
      <c r="O19" s="14"/>
      <c r="P19" s="29" t="n">
        <f aca="false">IFERROR(M19/L19*100,0)</f>
        <v>54.5454545454545</v>
      </c>
    </row>
    <row r="20" customFormat="false" ht="14.25" hidden="false" customHeight="false" outlineLevel="0" collapsed="false">
      <c r="A20" s="11" t="n">
        <v>15</v>
      </c>
      <c r="B20" s="12" t="s">
        <v>30</v>
      </c>
      <c r="C20" s="12" t="s">
        <v>30</v>
      </c>
      <c r="D20" s="11"/>
      <c r="E20" s="11"/>
      <c r="F20" s="11" t="n">
        <v>1</v>
      </c>
      <c r="G20" s="11"/>
      <c r="H20" s="11"/>
      <c r="I20" s="11"/>
      <c r="J20" s="11"/>
      <c r="K20" s="11"/>
      <c r="L20" s="13" t="n">
        <f aca="false">SUM(D20:K20)</f>
        <v>1</v>
      </c>
      <c r="M20" s="27" t="n">
        <v>1</v>
      </c>
      <c r="N20" s="27"/>
      <c r="O20" s="11"/>
      <c r="P20" s="28" t="n">
        <f aca="false">IFERROR(M20/L20*100,0)</f>
        <v>100</v>
      </c>
    </row>
    <row r="21" customFormat="false" ht="14.25" hidden="false" customHeight="false" outlineLevel="0" collapsed="false">
      <c r="A21" s="14" t="n">
        <v>16</v>
      </c>
      <c r="B21" s="15" t="s">
        <v>54</v>
      </c>
      <c r="C21" s="15" t="s">
        <v>31</v>
      </c>
      <c r="D21" s="14"/>
      <c r="E21" s="14"/>
      <c r="F21" s="14"/>
      <c r="G21" s="14" t="n">
        <v>1</v>
      </c>
      <c r="H21" s="14"/>
      <c r="I21" s="14" t="n">
        <v>5</v>
      </c>
      <c r="J21" s="14"/>
      <c r="K21" s="14" t="n">
        <v>1</v>
      </c>
      <c r="L21" s="13" t="n">
        <f aca="false">SUM(D21:K21)</f>
        <v>7</v>
      </c>
      <c r="M21" s="27" t="n">
        <v>4</v>
      </c>
      <c r="N21" s="27" t="n">
        <v>3</v>
      </c>
      <c r="O21" s="14"/>
      <c r="P21" s="29" t="n">
        <f aca="false">IFERROR(M21/L21*100,0)</f>
        <v>57.1428571428571</v>
      </c>
    </row>
    <row r="22" customFormat="false" ht="14.25" hidden="false" customHeight="false" outlineLevel="0" collapsed="false">
      <c r="A22" s="11" t="n">
        <v>17</v>
      </c>
      <c r="B22" s="12" t="s">
        <v>54</v>
      </c>
      <c r="C22" s="12" t="s">
        <v>32</v>
      </c>
      <c r="D22" s="11"/>
      <c r="E22" s="11"/>
      <c r="F22" s="11" t="n">
        <v>2</v>
      </c>
      <c r="G22" s="11" t="n">
        <v>1</v>
      </c>
      <c r="H22" s="11" t="n">
        <v>1</v>
      </c>
      <c r="I22" s="11" t="n">
        <v>7</v>
      </c>
      <c r="J22" s="11" t="n">
        <v>3</v>
      </c>
      <c r="K22" s="11" t="n">
        <v>1</v>
      </c>
      <c r="L22" s="13" t="n">
        <f aca="false">SUM(D22:K22)</f>
        <v>15</v>
      </c>
      <c r="M22" s="27" t="n">
        <v>8</v>
      </c>
      <c r="N22" s="27" t="n">
        <v>7</v>
      </c>
      <c r="O22" s="11"/>
      <c r="P22" s="28" t="n">
        <f aca="false">IFERROR(M22/L22*100,0)</f>
        <v>53.3333333333333</v>
      </c>
    </row>
    <row r="23" customFormat="false" ht="14.25" hidden="false" customHeight="false" outlineLevel="0" collapsed="false">
      <c r="A23" s="14" t="n">
        <v>18</v>
      </c>
      <c r="B23" s="15" t="s">
        <v>55</v>
      </c>
      <c r="C23" s="15" t="s">
        <v>33</v>
      </c>
      <c r="D23" s="14"/>
      <c r="E23" s="14"/>
      <c r="F23" s="14"/>
      <c r="G23" s="14"/>
      <c r="H23" s="14" t="n">
        <v>6</v>
      </c>
      <c r="I23" s="14" t="n">
        <v>20</v>
      </c>
      <c r="J23" s="14" t="n">
        <v>3</v>
      </c>
      <c r="K23" s="14" t="n">
        <v>4</v>
      </c>
      <c r="L23" s="13" t="n">
        <f aca="false">SUM(D23:K23)</f>
        <v>33</v>
      </c>
      <c r="M23" s="27" t="n">
        <v>18</v>
      </c>
      <c r="N23" s="27" t="n">
        <v>15</v>
      </c>
      <c r="O23" s="14"/>
      <c r="P23" s="29" t="n">
        <f aca="false">IFERROR(M23/L23*100,0)</f>
        <v>54.5454545454545</v>
      </c>
    </row>
    <row r="24" customFormat="false" ht="14.25" hidden="false" customHeight="false" outlineLevel="0" collapsed="false">
      <c r="A24" s="11" t="n">
        <v>19</v>
      </c>
      <c r="B24" s="12" t="s">
        <v>55</v>
      </c>
      <c r="C24" s="12" t="s">
        <v>34</v>
      </c>
      <c r="D24" s="11"/>
      <c r="E24" s="11" t="n">
        <v>1</v>
      </c>
      <c r="F24" s="11" t="n">
        <v>2</v>
      </c>
      <c r="G24" s="11" t="n">
        <v>1</v>
      </c>
      <c r="H24" s="11" t="n">
        <v>2</v>
      </c>
      <c r="I24" s="11" t="n">
        <v>7</v>
      </c>
      <c r="J24" s="11" t="n">
        <v>1</v>
      </c>
      <c r="K24" s="11" t="n">
        <v>1</v>
      </c>
      <c r="L24" s="13" t="n">
        <f aca="false">SUM(D24:K24)</f>
        <v>15</v>
      </c>
      <c r="M24" s="27" t="n">
        <v>7</v>
      </c>
      <c r="N24" s="27" t="n">
        <v>8</v>
      </c>
      <c r="O24" s="11"/>
      <c r="P24" s="28" t="n">
        <f aca="false">IFERROR(M24/L24*100,0)</f>
        <v>46.6666666666667</v>
      </c>
    </row>
    <row r="25" customFormat="false" ht="14.25" hidden="false" customHeight="false" outlineLevel="0" collapsed="false">
      <c r="A25" s="14" t="n">
        <v>20</v>
      </c>
      <c r="B25" s="15" t="s">
        <v>35</v>
      </c>
      <c r="C25" s="15" t="s">
        <v>35</v>
      </c>
      <c r="D25" s="14"/>
      <c r="E25" s="14" t="n">
        <v>1</v>
      </c>
      <c r="F25" s="14" t="n">
        <v>1</v>
      </c>
      <c r="G25" s="14"/>
      <c r="H25" s="14" t="n">
        <v>2</v>
      </c>
      <c r="I25" s="14" t="n">
        <v>4</v>
      </c>
      <c r="J25" s="14" t="n">
        <v>2</v>
      </c>
      <c r="K25" s="14"/>
      <c r="L25" s="13" t="n">
        <f aca="false">SUM(D25:K25)</f>
        <v>10</v>
      </c>
      <c r="M25" s="27" t="n">
        <v>4</v>
      </c>
      <c r="N25" s="27" t="n">
        <v>6</v>
      </c>
      <c r="O25" s="14"/>
      <c r="P25" s="29" t="n">
        <f aca="false">IFERROR(M25/L25*100,0)</f>
        <v>40</v>
      </c>
    </row>
    <row r="26" customFormat="false" ht="14.25" hidden="false" customHeight="false" outlineLevel="0" collapsed="false">
      <c r="A26" s="11" t="n">
        <v>21</v>
      </c>
      <c r="B26" s="12" t="s">
        <v>56</v>
      </c>
      <c r="C26" s="12" t="s">
        <v>36</v>
      </c>
      <c r="D26" s="11"/>
      <c r="E26" s="11"/>
      <c r="F26" s="11"/>
      <c r="G26" s="11" t="n">
        <v>2</v>
      </c>
      <c r="H26" s="11" t="n">
        <v>2</v>
      </c>
      <c r="I26" s="11" t="n">
        <v>4</v>
      </c>
      <c r="J26" s="11"/>
      <c r="K26" s="11"/>
      <c r="L26" s="13" t="n">
        <f aca="false">SUM(D26:K26)</f>
        <v>8</v>
      </c>
      <c r="M26" s="27" t="n">
        <v>4</v>
      </c>
      <c r="N26" s="27" t="n">
        <v>4</v>
      </c>
      <c r="O26" s="11"/>
      <c r="P26" s="28" t="n">
        <f aca="false">IFERROR(M26/L26*100,0)</f>
        <v>50</v>
      </c>
    </row>
    <row r="27" customFormat="false" ht="14.25" hidden="false" customHeight="false" outlineLevel="0" collapsed="false">
      <c r="A27" s="14" t="n">
        <v>22</v>
      </c>
      <c r="B27" s="15" t="s">
        <v>56</v>
      </c>
      <c r="C27" s="15" t="s">
        <v>37</v>
      </c>
      <c r="D27" s="14"/>
      <c r="E27" s="14"/>
      <c r="F27" s="14"/>
      <c r="G27" s="14" t="n">
        <v>3</v>
      </c>
      <c r="H27" s="14"/>
      <c r="I27" s="14" t="n">
        <v>7</v>
      </c>
      <c r="J27" s="14" t="n">
        <v>1</v>
      </c>
      <c r="K27" s="14" t="n">
        <v>2</v>
      </c>
      <c r="L27" s="13" t="n">
        <f aca="false">SUM(D27:K27)</f>
        <v>13</v>
      </c>
      <c r="M27" s="27" t="n">
        <v>5</v>
      </c>
      <c r="N27" s="27" t="n">
        <v>9</v>
      </c>
      <c r="O27" s="14"/>
      <c r="P27" s="29" t="n">
        <f aca="false">IFERROR(M27/L27*100,0)</f>
        <v>38.4615384615385</v>
      </c>
    </row>
    <row r="28" customFormat="false" ht="14.25" hidden="false" customHeight="false" outlineLevel="0" collapsed="false">
      <c r="A28" s="11" t="n">
        <v>23</v>
      </c>
      <c r="B28" s="12" t="s">
        <v>38</v>
      </c>
      <c r="C28" s="12" t="s">
        <v>38</v>
      </c>
      <c r="D28" s="11"/>
      <c r="E28" s="11"/>
      <c r="F28" s="11"/>
      <c r="G28" s="11"/>
      <c r="H28" s="11" t="n">
        <v>2</v>
      </c>
      <c r="I28" s="11" t="n">
        <v>4</v>
      </c>
      <c r="J28" s="11" t="n">
        <v>3</v>
      </c>
      <c r="K28" s="11"/>
      <c r="L28" s="13" t="n">
        <f aca="false">SUM(D28:K28)</f>
        <v>9</v>
      </c>
      <c r="M28" s="27" t="n">
        <v>6</v>
      </c>
      <c r="N28" s="27" t="n">
        <v>3</v>
      </c>
      <c r="O28" s="11"/>
      <c r="P28" s="28" t="n">
        <f aca="false">IFERROR(M28/L28*100,0)</f>
        <v>66.6666666666667</v>
      </c>
    </row>
    <row r="29" customFormat="false" ht="14.25" hidden="false" customHeight="false" outlineLevel="0" collapsed="false">
      <c r="A29" s="14" t="n">
        <v>24</v>
      </c>
      <c r="B29" s="15" t="s">
        <v>39</v>
      </c>
      <c r="C29" s="15" t="s">
        <v>39</v>
      </c>
      <c r="D29" s="14"/>
      <c r="E29" s="14"/>
      <c r="F29" s="14" t="n">
        <v>1</v>
      </c>
      <c r="G29" s="14"/>
      <c r="H29" s="14" t="n">
        <v>4</v>
      </c>
      <c r="I29" s="14" t="n">
        <v>6</v>
      </c>
      <c r="J29" s="14" t="n">
        <v>1</v>
      </c>
      <c r="K29" s="14" t="n">
        <v>3</v>
      </c>
      <c r="L29" s="13" t="n">
        <f aca="false">SUM(D29:K29)</f>
        <v>15</v>
      </c>
      <c r="M29" s="27" t="n">
        <v>9</v>
      </c>
      <c r="N29" s="27" t="n">
        <v>6</v>
      </c>
      <c r="O29" s="14"/>
      <c r="P29" s="29" t="n">
        <f aca="false">IFERROR(M29/L29*100,0)</f>
        <v>60</v>
      </c>
    </row>
    <row r="30" customFormat="false" ht="14.25" hidden="false" customHeight="false" outlineLevel="0" collapsed="false">
      <c r="A30" s="11" t="n">
        <v>25</v>
      </c>
      <c r="B30" s="12" t="s">
        <v>40</v>
      </c>
      <c r="C30" s="12" t="s">
        <v>40</v>
      </c>
      <c r="D30" s="11"/>
      <c r="E30" s="11"/>
      <c r="F30" s="11" t="n">
        <v>3</v>
      </c>
      <c r="G30" s="11" t="n">
        <v>2</v>
      </c>
      <c r="H30" s="11" t="n">
        <v>1</v>
      </c>
      <c r="I30" s="11" t="n">
        <v>4</v>
      </c>
      <c r="J30" s="11" t="n">
        <v>2</v>
      </c>
      <c r="K30" s="11"/>
      <c r="L30" s="13" t="n">
        <f aca="false">SUM(D30:K30)</f>
        <v>12</v>
      </c>
      <c r="M30" s="27" t="n">
        <v>3</v>
      </c>
      <c r="N30" s="27" t="n">
        <v>9</v>
      </c>
      <c r="O30" s="11"/>
      <c r="P30" s="28" t="n">
        <f aca="false">IFERROR(M30/L30*100,0)</f>
        <v>25</v>
      </c>
    </row>
    <row r="31" customFormat="false" ht="21.75" hidden="false" customHeight="true" outlineLevel="0" collapsed="false">
      <c r="A31" s="16" t="s">
        <v>41</v>
      </c>
      <c r="B31" s="16"/>
      <c r="C31" s="16"/>
      <c r="D31" s="30" t="n">
        <f aca="false">SUM(D6:D30)</f>
        <v>0</v>
      </c>
      <c r="E31" s="30" t="n">
        <f aca="false">SUM(E6:E30)</f>
        <v>14</v>
      </c>
      <c r="F31" s="30" t="n">
        <f aca="false">SUM(F6:F30)</f>
        <v>37</v>
      </c>
      <c r="G31" s="30" t="n">
        <f aca="false">SUM(G6:G30)</f>
        <v>42</v>
      </c>
      <c r="H31" s="30" t="n">
        <f aca="false">SUM(H6:H30)</f>
        <v>68</v>
      </c>
      <c r="I31" s="30" t="n">
        <f aca="false">SUM(I6:I30)</f>
        <v>174</v>
      </c>
      <c r="J31" s="30" t="n">
        <f aca="false">SUM(J6:J30)</f>
        <v>49</v>
      </c>
      <c r="K31" s="30" t="n">
        <f aca="false">SUM(K6:K30)</f>
        <v>36</v>
      </c>
      <c r="L31" s="19" t="n">
        <f aca="false">SUM(L6:L30)</f>
        <v>420</v>
      </c>
      <c r="M31" s="31" t="n">
        <v>223</v>
      </c>
      <c r="N31" s="31" t="n">
        <v>200</v>
      </c>
      <c r="O31" s="32" t="n">
        <f aca="false">SUM(M6:M30)</f>
        <v>223</v>
      </c>
      <c r="P31" s="33" t="n">
        <f aca="false">IFERROR(M31/L31*100,0)</f>
        <v>53.0952380952381</v>
      </c>
    </row>
    <row r="33" customFormat="false" ht="14.25" hidden="false" customHeight="false" outlineLevel="0" collapsed="false">
      <c r="A33" s="34" t="s">
        <v>57</v>
      </c>
    </row>
    <row r="34" customFormat="false" ht="14.25" hidden="false" customHeight="false" outlineLevel="0" collapsed="false">
      <c r="A34" s="35" t="s">
        <v>58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customFormat="false" ht="14.25" hidden="false" customHeight="false" outlineLevel="0" collapsed="false">
      <c r="A35" s="35" t="s">
        <v>59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</sheetData>
  <mergeCells count="12">
    <mergeCell ref="A1:O1"/>
    <mergeCell ref="A2:O2"/>
    <mergeCell ref="A4:A5"/>
    <mergeCell ref="B4:B5"/>
    <mergeCell ref="C4:C5"/>
    <mergeCell ref="D4:K4"/>
    <mergeCell ref="L4:L5"/>
    <mergeCell ref="M4:M5"/>
    <mergeCell ref="N4:N5"/>
    <mergeCell ref="A31:C31"/>
    <mergeCell ref="A34:N34"/>
    <mergeCell ref="A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2026-04-24T02:40:07Z</dcterms:created>
  <dc:creator>openpyxl</dc:creator>
  <dc:description/>
  <dc:language>en-US</dc:language>
  <cp:lastModifiedBy>M S I</cp:lastModifiedBy>
  <dcterms:modified xsi:type="dcterms:W3CDTF">2026-05-31T02:02:37Z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